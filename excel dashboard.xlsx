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okolu\OneDrive\Documents\"/>
    </mc:Choice>
  </mc:AlternateContent>
  <xr:revisionPtr revIDLastSave="0" documentId="13_ncr:1_{95D49943-AE3F-4098-83D0-45FF4F0AAC88}" xr6:coauthVersionLast="47" xr6:coauthVersionMax="47" xr10:uidLastSave="{00000000-0000-0000-0000-000000000000}"/>
  <bookViews>
    <workbookView xWindow="-110" yWindow="-110" windowWidth="19420" windowHeight="10300" activeTab="2" xr2:uid="{00000000-000D-0000-FFFF-FFFF00000000}"/>
  </bookViews>
  <sheets>
    <sheet name="Datasets" sheetId="3" r:id="rId1"/>
    <sheet name="Pivot analyser" sheetId="4" r:id="rId2"/>
    <sheet name="Dashboard" sheetId="6" r:id="rId3"/>
  </sheets>
  <definedNames>
    <definedName name="Slicer_Issue_Type">#N/A</definedName>
    <definedName name="Slicer_Platform">#N/A</definedName>
    <definedName name="Slicer_Priority">#N/A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3" l="1"/>
</calcChain>
</file>

<file path=xl/sharedStrings.xml><?xml version="1.0" encoding="utf-8"?>
<sst xmlns="http://schemas.openxmlformats.org/spreadsheetml/2006/main" count="650" uniqueCount="145">
  <si>
    <t>1. Which issue types are reported most often?</t>
  </si>
  <si>
    <t>2. Which platform generates the most support tickets?</t>
  </si>
  <si>
    <t>3. What's the average resolution time by priority?</t>
  </si>
  <si>
    <t>4. Which ticket category has the lowest user rating?</t>
  </si>
  <si>
    <t>Ticket ID</t>
  </si>
  <si>
    <t>Date Submitted</t>
  </si>
  <si>
    <t>Issue Type</t>
  </si>
  <si>
    <t>Priority</t>
  </si>
  <si>
    <t>Platform</t>
  </si>
  <si>
    <t>Category</t>
  </si>
  <si>
    <t>Status</t>
  </si>
  <si>
    <t>Time to Resolution (hrs)</t>
  </si>
  <si>
    <t>User Rating (1-5)</t>
  </si>
  <si>
    <t>T0001</t>
  </si>
  <si>
    <t>Login Issue</t>
  </si>
  <si>
    <t>Urgent</t>
  </si>
  <si>
    <t>Web</t>
  </si>
  <si>
    <t>General Inquiry</t>
  </si>
  <si>
    <t>Closed</t>
  </si>
  <si>
    <t>Questions from leadership:</t>
  </si>
  <si>
    <t>T0002</t>
  </si>
  <si>
    <t>Payment Error</t>
  </si>
  <si>
    <t>Low</t>
  </si>
  <si>
    <t>Account Management</t>
  </si>
  <si>
    <t>Resolved</t>
  </si>
  <si>
    <t>T0003</t>
  </si>
  <si>
    <t>Medium</t>
  </si>
  <si>
    <t>Android</t>
  </si>
  <si>
    <t>In Progress</t>
  </si>
  <si>
    <t>T0004</t>
  </si>
  <si>
    <t>Feature Request</t>
  </si>
  <si>
    <t>Billing</t>
  </si>
  <si>
    <t>3. What’s the average resolution time by priority level?</t>
  </si>
  <si>
    <t>T0005</t>
  </si>
  <si>
    <t>Bug Report</t>
  </si>
  <si>
    <t>T0006</t>
  </si>
  <si>
    <t>5. How do ticket counts trend month by month?</t>
  </si>
  <si>
    <t>T0007</t>
  </si>
  <si>
    <t>High</t>
  </si>
  <si>
    <t>iOS</t>
  </si>
  <si>
    <t>Technical</t>
  </si>
  <si>
    <t>T0008</t>
  </si>
  <si>
    <t>T0009</t>
  </si>
  <si>
    <t>Account Suspension</t>
  </si>
  <si>
    <t>T0010</t>
  </si>
  <si>
    <t>Performance Lag</t>
  </si>
  <si>
    <t>UX/UI</t>
  </si>
  <si>
    <t>Open</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</si>
  <si>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</si>
  <si>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</si>
  <si>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</si>
  <si>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</si>
  <si>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</si>
  <si>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</si>
  <si>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</si>
  <si>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</si>
  <si>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</si>
  <si>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</si>
  <si>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</si>
  <si>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</si>
  <si>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</si>
  <si>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</si>
  <si>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</si>
  <si>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</si>
  <si>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</si>
  <si>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</si>
  <si>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</si>
  <si>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</si>
  <si>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</si>
  <si>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</si>
  <si>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</si>
  <si>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</si>
  <si>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</si>
  <si>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</si>
  <si>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</si>
  <si>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</si>
  <si>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</si>
  <si>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</si>
  <si>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</si>
  <si>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</si>
  <si>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</si>
  <si>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</si>
  <si>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</si>
  <si>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</si>
  <si>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</si>
  <si>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</si>
  <si>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</si>
  <si>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</si>
  <si>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</si>
  <si>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</si>
  <si>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</si>
  <si>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</si>
  <si>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</si>
  <si>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</si>
  <si>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</si>
  <si>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</si>
  <si>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</si>
  <si>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</si>
  <si>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</si>
  <si>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</si>
  <si>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</si>
  <si>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</si>
  <si>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</si>
  <si>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</si>
  <si>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</si>
  <si>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</si>
  <si>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</si>
  <si>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</si>
  <si>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</si>
  <si>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</si>
  <si>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</si>
  <si>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</si>
  <si>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</si>
  <si>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</si>
  <si>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</si>
  <si>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</si>
  <si>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</si>
  <si>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</si>
  <si>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</si>
  <si>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</si>
  <si>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</si>
  <si>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</si>
  <si>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</si>
  <si>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</si>
  <si>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</si>
  <si>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</si>
  <si>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</si>
  <si>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</si>
  <si>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</si>
  <si>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</si>
  <si>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</si>
  <si>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</si>
  <si>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</si>
  <si>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</si>
  <si>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</si>
  <si>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</si>
  <si>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</si>
  <si>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</si>
  <si>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Grand Total</t>
  </si>
  <si>
    <t>Count of Ticket ID</t>
  </si>
  <si>
    <t>Average of Time to Resolution (hrs)</t>
  </si>
  <si>
    <t>Sum of User Rating (1-5)</t>
  </si>
  <si>
    <t>Average User Ratring</t>
  </si>
  <si>
    <t>pirority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</si>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</sst>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analyser!PivotTable1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a:t>
            </a:r>
            <a:r>
              <a:rPr lang="en-US" baseline="0"/>
              <a:t> by Issue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analyser'!$B$3</c:f>
              <c:strCache>
                <c:ptCount val="1"/>
                <c:pt idx="0">
                  <c:v>Total</c:v>
                </c:pt>
              </c:strCache>
            </c:strRef>
          </c:tx>
          <c:spPr>
            <a:solidFill>
              <a:schemeClr val="accent1"/>
            </a:solidFill>
            <a:ln>
              <a:noFill/>
            </a:ln>
            <a:effectLst/>
          </c:spPr>
          <c:invertIfNegative val="0"/>
          <c:cat>
            <c:strRef>
              <c:f>'Pivot analyser'!$A$4:$A$10</c:f>
              <c:strCache>
                <c:ptCount val="6"/>
                <c:pt idx="0">
                  <c:v>Account Suspension</c:v>
                </c:pt>
                <c:pt idx="1">
                  <c:v>Login Issue</c:v>
                </c:pt>
                <c:pt idx="2">
                  <c:v>Payment Error</c:v>
                </c:pt>
                <c:pt idx="3">
                  <c:v>Performance Lag</c:v>
                </c:pt>
                <c:pt idx="4">
                  <c:v>Feature Request</c:v>
                </c:pt>
                <c:pt idx="5">
                  <c:v>Bug Report</c:v>
                </c:pt>
              </c:strCache>
            </c:strRef>
          </c:cat>
          <c:val>
            <c:numRef>
              <c:f>'Pivot analyser'!$B$4:$B$10</c:f>
              <c:numCache>
                <c:formatCode>General</c:formatCode>
                <c:ptCount val="6"/>
                <c:pt idx="0">
                  <c:v>19</c:v>
                </c:pt>
                <c:pt idx="1">
                  <c:v>18</c:v>
                </c:pt>
                <c:pt idx="2">
                  <c:v>17</c:v>
                </c:pt>
                <c:pt idx="3">
                  <c:v>16</c:v>
                </c:pt>
                <c:pt idx="4">
                  <c:v>16</c:v>
                </c:pt>
                <c:pt idx="5">
                  <c:v>14</c:v>
                </c:pt>
              </c:numCache>
            </c:numRef>
          </c:val>
          <c:extLst>
            <c:ext xmlns:c16="http://schemas.microsoft.com/office/drawing/2014/chart" uri="{C3380CC4-5D6E-409C-BE32-E72D297353CC}">
              <c16:uniqueId val="{00000000-7DBD-4F3A-8EE9-1C09056B4106}"/>
            </c:ext>
          </c:extLst>
        </c:ser>
        <c:dLbls>
          <c:showLegendKey val="0"/>
          <c:showVal val="0"/>
          <c:showCatName val="0"/>
          <c:showSerName val="0"/>
          <c:showPercent val="0"/>
          <c:showBubbleSize val="0"/>
        </c:dLbls>
        <c:gapWidth val="182"/>
        <c:axId val="1920336432"/>
        <c:axId val="1920339312"/>
      </c:barChart>
      <c:catAx>
        <c:axId val="192033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339312"/>
        <c:crosses val="autoZero"/>
        <c:auto val="1"/>
        <c:lblAlgn val="ctr"/>
        <c:lblOffset val="100"/>
        <c:noMultiLvlLbl val="0"/>
      </c:catAx>
      <c:valAx>
        <c:axId val="1920339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TIcket</a:t>
                </a:r>
                <a:r>
                  <a:rPr lang="en-US" baseline="0"/>
                  <a:t> 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33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analyser!PivotTable2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a:t>
            </a:r>
            <a:r>
              <a:rPr lang="en-US" baseline="0"/>
              <a:t> Distribution by Platform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analyser'!$J$3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9D-4966-8BE8-68C47C1C39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9D-4966-8BE8-68C47C1C39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9D-4966-8BE8-68C47C1C39BB}"/>
              </c:ext>
            </c:extLst>
          </c:dPt>
          <c:cat>
            <c:strRef>
              <c:f>'Pivot analyser'!$I$4:$I$7</c:f>
              <c:strCache>
                <c:ptCount val="3"/>
                <c:pt idx="0">
                  <c:v>Android</c:v>
                </c:pt>
                <c:pt idx="1">
                  <c:v>Web</c:v>
                </c:pt>
                <c:pt idx="2">
                  <c:v>iOS</c:v>
                </c:pt>
              </c:strCache>
            </c:strRef>
          </c:cat>
          <c:val>
            <c:numRef>
              <c:f>'Pivot analyser'!$J$4:$J$7</c:f>
              <c:numCache>
                <c:formatCode>General</c:formatCode>
                <c:ptCount val="3"/>
                <c:pt idx="0">
                  <c:v>36</c:v>
                </c:pt>
                <c:pt idx="1">
                  <c:v>34</c:v>
                </c:pt>
                <c:pt idx="2">
                  <c:v>30</c:v>
                </c:pt>
              </c:numCache>
            </c:numRef>
          </c:val>
          <c:extLst>
            <c:ext xmlns:c16="http://schemas.microsoft.com/office/drawing/2014/chart" uri="{C3380CC4-5D6E-409C-BE32-E72D297353CC}">
              <c16:uniqueId val="{00000006-9B9D-4966-8BE8-68C47C1C39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Resolution</a:t>
            </a:r>
            <a:r>
              <a:rPr lang="en-US" baseline="0"/>
              <a:t> Time by Pirority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analyser'!$B$16</c:f>
              <c:strCache>
                <c:ptCount val="1"/>
                <c:pt idx="0">
                  <c:v>Total</c:v>
                </c:pt>
              </c:strCache>
            </c:strRef>
          </c:tx>
          <c:spPr>
            <a:solidFill>
              <a:schemeClr val="accent1"/>
            </a:solidFill>
            <a:ln>
              <a:noFill/>
            </a:ln>
            <a:effectLst/>
          </c:spPr>
          <c:invertIfNegative val="0"/>
          <c:cat>
            <c:strRef>
              <c:f>'Pivot analyser'!$A$17:$A$21</c:f>
              <c:strCache>
                <c:ptCount val="4"/>
                <c:pt idx="0">
                  <c:v>High</c:v>
                </c:pt>
                <c:pt idx="1">
                  <c:v>Low</c:v>
                </c:pt>
                <c:pt idx="2">
                  <c:v>Medium</c:v>
                </c:pt>
                <c:pt idx="3">
                  <c:v>Urgent</c:v>
                </c:pt>
              </c:strCache>
            </c:strRef>
          </c:cat>
          <c:val>
            <c:numRef>
              <c:f>'Pivot analyser'!$B$17:$B$21</c:f>
              <c:numCache>
                <c:formatCode>General</c:formatCode>
                <c:ptCount val="4"/>
                <c:pt idx="0">
                  <c:v>47.153846153846153</c:v>
                </c:pt>
                <c:pt idx="1">
                  <c:v>40.57586206896552</c:v>
                </c:pt>
                <c:pt idx="2">
                  <c:v>39.499999999999993</c:v>
                </c:pt>
                <c:pt idx="3">
                  <c:v>35.04137931034483</c:v>
                </c:pt>
              </c:numCache>
            </c:numRef>
          </c:val>
          <c:extLst>
            <c:ext xmlns:c16="http://schemas.microsoft.com/office/drawing/2014/chart" uri="{C3380CC4-5D6E-409C-BE32-E72D297353CC}">
              <c16:uniqueId val="{00000000-BAEA-4C95-BC13-62CE2902FDD5}"/>
            </c:ext>
          </c:extLst>
        </c:ser>
        <c:dLbls>
          <c:showLegendKey val="0"/>
          <c:showVal val="0"/>
          <c:showCatName val="0"/>
          <c:showSerName val="0"/>
          <c:showPercent val="0"/>
          <c:showBubbleSize val="0"/>
        </c:dLbls>
        <c:gapWidth val="219"/>
        <c:overlap val="-27"/>
        <c:axId val="1920341232"/>
        <c:axId val="1920341712"/>
      </c:barChart>
      <c:catAx>
        <c:axId val="19203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341712"/>
        <c:crosses val="autoZero"/>
        <c:auto val="1"/>
        <c:lblAlgn val="ctr"/>
        <c:lblOffset val="100"/>
        <c:noMultiLvlLbl val="0"/>
      </c:catAx>
      <c:valAx>
        <c:axId val="192034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Resolution Time (hrs)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3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analyser!PivotTable4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analyser'!$J$16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analyser'!$I$17:$I$22</c:f>
              <c:strCache>
                <c:ptCount val="5"/>
                <c:pt idx="0">
                  <c:v>Account Management</c:v>
                </c:pt>
                <c:pt idx="1">
                  <c:v>General Inquiry</c:v>
                </c:pt>
                <c:pt idx="2">
                  <c:v>Billing</c:v>
                </c:pt>
                <c:pt idx="3">
                  <c:v>Technical</c:v>
                </c:pt>
                <c:pt idx="4">
                  <c:v>UX/UI</c:v>
                </c:pt>
              </c:strCache>
            </c:strRef>
          </c:cat>
          <c:val>
            <c:numRef>
              <c:f>'Pivot analyser'!$J$17:$J$22</c:f>
              <c:numCache>
                <c:formatCode>General</c:formatCode>
                <c:ptCount val="5"/>
                <c:pt idx="0">
                  <c:v>48.9</c:v>
                </c:pt>
                <c:pt idx="1">
                  <c:v>52</c:v>
                </c:pt>
                <c:pt idx="2">
                  <c:v>53.3</c:v>
                </c:pt>
                <c:pt idx="3">
                  <c:v>59.099999999999994</c:v>
                </c:pt>
                <c:pt idx="4">
                  <c:v>74.099999999999994</c:v>
                </c:pt>
              </c:numCache>
            </c:numRef>
          </c:val>
          <c:smooth val="0"/>
          <c:extLst>
            <c:ext xmlns:c16="http://schemas.microsoft.com/office/drawing/2014/chart" uri="{C3380CC4-5D6E-409C-BE32-E72D297353CC}">
              <c16:uniqueId val="{00000000-CC87-42B2-97E8-919FE22AAC32}"/>
            </c:ext>
          </c:extLst>
        </c:ser>
        <c:dLbls>
          <c:dLblPos val="ctr"/>
          <c:showLegendKey val="0"/>
          <c:showVal val="1"/>
          <c:showCatName val="0"/>
          <c:showSerName val="0"/>
          <c:showPercent val="0"/>
          <c:showBubbleSize val="0"/>
        </c:dLbls>
        <c:smooth val="0"/>
        <c:axId val="1920287472"/>
        <c:axId val="1920298032"/>
      </c:lineChart>
      <c:catAx>
        <c:axId val="192028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298032"/>
        <c:crosses val="autoZero"/>
        <c:auto val="1"/>
        <c:lblAlgn val="ctr"/>
        <c:lblOffset val="100"/>
        <c:noMultiLvlLbl val="0"/>
      </c:catAx>
      <c:valAx>
        <c:axId val="1920298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28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101600</xdr:colOff>
      <xdr:row>0</xdr:row>
      <xdr:rowOff>38100</xdr:rowOff>
    </xdr:from>
    <xdr:to>
      <xdr:col>19</xdr:col>
      <xdr:colOff>88900</xdr:colOff>
      <xdr:row>5</xdr:row>
      <xdr:rowOff>63500</xdr:rowOff>
    </xdr:to>
    <xdr:sp macro="" textlink="">
      <xdr:nvSpPr>
        <xdr:cNvPr id="2" name="Rectangle: Rounded Corners 1">
          <a:extLst>
            <a:ext uri="{FF2B5EF4-FFF2-40B4-BE49-F238E27FC236}">
              <a16:creationId xmlns:a16="http://schemas.microsoft.com/office/drawing/2014/main" id="{83674DF1-475F-042D-A756-F303DFE90695}"/>
            </a:ext>
          </a:extLst>
        </xdr:cNvPr>
        <xdr:cNvSpPr/>
      </xdr:nvSpPr>
      <xdr:spPr>
        <a:xfrm>
          <a:off x="101600" y="38100"/>
          <a:ext cx="11569700" cy="946150"/>
        </a:xfrm>
        <a:prstGeom prst="roundRect">
          <a:avLst/>
        </a:prstGeom>
        <a:solidFill>
          <a:schemeClr val="tx2">
            <a:lumMod val="40000"/>
            <a:lumOff val="60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3200"/>
            <a:t>Customer</a:t>
          </a:r>
          <a:r>
            <a:rPr lang="en-US" sz="3200" baseline="0"/>
            <a:t> Support Ticket Analysis Dashboard</a:t>
          </a:r>
          <a:endParaRPr lang="en-US" sz="3200"/>
        </a:p>
      </xdr:txBody>
    </xdr:sp>
    <xdr:clientData/>
  </xdr:twoCellAnchor>
  <xdr:twoCellAnchor>
    <xdr:from>
      <xdr:col>0</xdr:col>
      <xdr:colOff>69850</xdr:colOff>
      <xdr:row>6</xdr:row>
      <xdr:rowOff>12700</xdr:rowOff>
    </xdr:from>
    <xdr:to>
      <xdr:col>7</xdr:col>
      <xdr:colOff>488950</xdr:colOff>
      <xdr:row>11</xdr:row>
      <xdr:rowOff>44450</xdr:rowOff>
    </xdr:to>
    <xdr:sp macro="" textlink="">
      <xdr:nvSpPr>
        <xdr:cNvPr id="3" name="Rectangle: Rounded Corners 2">
          <a:extLst>
            <a:ext uri="{FF2B5EF4-FFF2-40B4-BE49-F238E27FC236}">
              <a16:creationId xmlns:a16="http://schemas.microsoft.com/office/drawing/2014/main" id="{2112EB5E-55C7-D3FF-1620-6F376EDE412B}"/>
            </a:ext>
          </a:extLst>
        </xdr:cNvPr>
        <xdr:cNvSpPr/>
      </xdr:nvSpPr>
      <xdr:spPr>
        <a:xfrm>
          <a:off x="69850" y="1117600"/>
          <a:ext cx="4686300" cy="952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Total Tickets</a:t>
          </a:r>
          <a:r>
            <a:rPr lang="en-US" sz="2000" b="1"/>
            <a:t>:</a:t>
          </a:r>
        </a:p>
        <a:p>
          <a:pPr algn="ctr"/>
          <a:r>
            <a:rPr lang="en-US" sz="2000" b="1">
              <a:solidFill>
                <a:sysClr val="windowText" lastClr="000000"/>
              </a:solidFill>
            </a:rPr>
            <a:t>100</a:t>
          </a:r>
        </a:p>
      </xdr:txBody>
    </xdr:sp>
    <xdr:clientData/>
  </xdr:twoCellAnchor>
  <xdr:twoCellAnchor>
    <xdr:from>
      <xdr:col>8</xdr:col>
      <xdr:colOff>31750</xdr:colOff>
      <xdr:row>6</xdr:row>
      <xdr:rowOff>12700</xdr:rowOff>
    </xdr:from>
    <xdr:to>
      <xdr:col>14</xdr:col>
      <xdr:colOff>38100</xdr:colOff>
      <xdr:row>11</xdr:row>
      <xdr:rowOff>57150</xdr:rowOff>
    </xdr:to>
    <xdr:sp macro="" textlink="">
      <xdr:nvSpPr>
        <xdr:cNvPr id="4" name="Rectangle: Rounded Corners 3">
          <a:extLst>
            <a:ext uri="{FF2B5EF4-FFF2-40B4-BE49-F238E27FC236}">
              <a16:creationId xmlns:a16="http://schemas.microsoft.com/office/drawing/2014/main" id="{A89DF12F-0EB8-7D67-E66F-96BE37CCD164}"/>
            </a:ext>
          </a:extLst>
        </xdr:cNvPr>
        <xdr:cNvSpPr/>
      </xdr:nvSpPr>
      <xdr:spPr>
        <a:xfrm>
          <a:off x="4908550" y="1117600"/>
          <a:ext cx="3663950" cy="96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Avg</a:t>
          </a:r>
          <a:r>
            <a:rPr lang="en-US" sz="2000" b="1" baseline="0">
              <a:solidFill>
                <a:sysClr val="windowText" lastClr="000000"/>
              </a:solidFill>
            </a:rPr>
            <a:t> resolution time (hrs)</a:t>
          </a:r>
        </a:p>
        <a:p>
          <a:pPr algn="ctr"/>
          <a:r>
            <a:rPr lang="en-US" sz="2000" b="1" baseline="0">
              <a:solidFill>
                <a:sysClr val="windowText" lastClr="000000"/>
              </a:solidFill>
            </a:rPr>
            <a:t>39.5</a:t>
          </a:r>
          <a:endParaRPr lang="en-US" sz="2000" b="1">
            <a:solidFill>
              <a:sysClr val="windowText" lastClr="000000"/>
            </a:solidFill>
          </a:endParaRPr>
        </a:p>
      </xdr:txBody>
    </xdr:sp>
    <xdr:clientData/>
  </xdr:twoCellAnchor>
  <xdr:twoCellAnchor>
    <xdr:from>
      <xdr:col>14</xdr:col>
      <xdr:colOff>171450</xdr:colOff>
      <xdr:row>6</xdr:row>
      <xdr:rowOff>31750</xdr:rowOff>
    </xdr:from>
    <xdr:to>
      <xdr:col>19</xdr:col>
      <xdr:colOff>50800</xdr:colOff>
      <xdr:row>11</xdr:row>
      <xdr:rowOff>50800</xdr:rowOff>
    </xdr:to>
    <xdr:sp macro="" textlink="">
      <xdr:nvSpPr>
        <xdr:cNvPr id="5" name="Rectangle: Rounded Corners 4">
          <a:extLst>
            <a:ext uri="{FF2B5EF4-FFF2-40B4-BE49-F238E27FC236}">
              <a16:creationId xmlns:a16="http://schemas.microsoft.com/office/drawing/2014/main" id="{3923FB03-A5BE-1351-C7D0-0B6D524C1285}"/>
            </a:ext>
          </a:extLst>
        </xdr:cNvPr>
        <xdr:cNvSpPr/>
      </xdr:nvSpPr>
      <xdr:spPr>
        <a:xfrm>
          <a:off x="8705850" y="1136650"/>
          <a:ext cx="2927350" cy="939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ysClr val="windowText" lastClr="000000"/>
              </a:solidFill>
            </a:rPr>
            <a:t>Average User Rating</a:t>
          </a:r>
        </a:p>
        <a:p>
          <a:pPr algn="ctr"/>
          <a:r>
            <a:rPr lang="en-US" sz="2000" b="1">
              <a:solidFill>
                <a:sysClr val="windowText" lastClr="000000"/>
              </a:solidFill>
            </a:rPr>
            <a:t>2.87</a:t>
          </a:r>
        </a:p>
      </xdr:txBody>
    </xdr:sp>
    <xdr:clientData/>
  </xdr:twoCellAnchor>
  <xdr:twoCellAnchor>
    <xdr:from>
      <xdr:col>3</xdr:col>
      <xdr:colOff>504031</xdr:colOff>
      <xdr:row>12</xdr:row>
      <xdr:rowOff>46038</xdr:rowOff>
    </xdr:from>
    <xdr:to>
      <xdr:col>11</xdr:col>
      <xdr:colOff>199231</xdr:colOff>
      <xdr:row>27</xdr:row>
      <xdr:rowOff>26988</xdr:rowOff>
    </xdr:to>
    <xdr:graphicFrame macro="">
      <xdr:nvGraphicFramePr>
        <xdr:cNvPr id="6" name="Chart 1">
          <a:extLst>
            <a:ext uri="{FF2B5EF4-FFF2-40B4-BE49-F238E27FC236}">
              <a16:creationId xmlns:a16="http://schemas.microsoft.com/office/drawing/2014/main" id="{2C94A9AD-CE9E-27DC-497D-40CCE2C03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338931</xdr:colOff>
      <xdr:row>12</xdr:row>
      <xdr:rowOff>61913</xdr:rowOff>
    </xdr:from>
    <xdr:to>
      <xdr:col>19</xdr:col>
      <xdr:colOff>34131</xdr:colOff>
      <xdr:row>27</xdr:row>
      <xdr:rowOff>42863</xdr:rowOff>
    </xdr:to>
    <xdr:graphicFrame macro="">
      <xdr:nvGraphicFramePr>
        <xdr:cNvPr id="7" name="Chart 2">
          <a:extLst>
            <a:ext uri="{FF2B5EF4-FFF2-40B4-BE49-F238E27FC236}">
              <a16:creationId xmlns:a16="http://schemas.microsoft.com/office/drawing/2014/main" id="{1ABFBCC3-7929-F326-7D54-D7564A372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353219</xdr:colOff>
      <xdr:row>27</xdr:row>
      <xdr:rowOff>106363</xdr:rowOff>
    </xdr:from>
    <xdr:to>
      <xdr:col>19</xdr:col>
      <xdr:colOff>48419</xdr:colOff>
      <xdr:row>42</xdr:row>
      <xdr:rowOff>87313</xdr:rowOff>
    </xdr:to>
    <xdr:graphicFrame macro="">
      <xdr:nvGraphicFramePr>
        <xdr:cNvPr id="8" name="Chart 3">
          <a:extLst>
            <a:ext uri="{FF2B5EF4-FFF2-40B4-BE49-F238E27FC236}">
              <a16:creationId xmlns:a16="http://schemas.microsoft.com/office/drawing/2014/main" id="{8AE2DE24-8C4B-07BF-B9EE-CC69B71F9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521494</xdr:colOff>
      <xdr:row>27</xdr:row>
      <xdr:rowOff>120650</xdr:rowOff>
    </xdr:from>
    <xdr:to>
      <xdr:col>11</xdr:col>
      <xdr:colOff>216694</xdr:colOff>
      <xdr:row>42</xdr:row>
      <xdr:rowOff>101600</xdr:rowOff>
    </xdr:to>
    <xdr:graphicFrame macro="">
      <xdr:nvGraphicFramePr>
        <xdr:cNvPr id="9" name="Chart 4">
          <a:extLst>
            <a:ext uri="{FF2B5EF4-FFF2-40B4-BE49-F238E27FC236}">
              <a16:creationId xmlns:a16="http://schemas.microsoft.com/office/drawing/2014/main" id="{9B8428BD-67AB-ADCC-5A16-4BA46189D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12</xdr:row>
      <xdr:rowOff>44451</xdr:rowOff>
    </xdr:from>
    <xdr:to>
      <xdr:col>3</xdr:col>
      <xdr:colOff>400050</xdr:colOff>
      <xdr:row>21</xdr:row>
      <xdr:rowOff>107950</xdr:rowOff>
    </xdr:to>
    <mc:AlternateContent xmlns:mc="http://schemas.openxmlformats.org/markup-compatibility/2006">
      <mc:Choice xmlns:a14="http://schemas.microsoft.com/office/drawing/2010/main" Requires="a14">
        <xdr:graphicFrame macro="">
          <xdr:nvGraphicFramePr>
            <xdr:cNvPr id="13" name="Priority">
              <a:extLst>
                <a:ext uri="{FF2B5EF4-FFF2-40B4-BE49-F238E27FC236}">
                  <a16:creationId xmlns:a16="http://schemas.microsoft.com/office/drawing/2014/main" id="{412A4CBB-9E21-133B-A183-1C3BA9D4173C}"/>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14300" y="2254251"/>
              <a:ext cx="2114550" cy="1720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22</xdr:row>
      <xdr:rowOff>82551</xdr:rowOff>
    </xdr:from>
    <xdr:to>
      <xdr:col>3</xdr:col>
      <xdr:colOff>381000</xdr:colOff>
      <xdr:row>29</xdr:row>
      <xdr:rowOff>31750</xdr:rowOff>
    </xdr:to>
    <mc:AlternateContent xmlns:mc="http://schemas.openxmlformats.org/markup-compatibility/2006">
      <mc:Choice xmlns:a14="http://schemas.microsoft.com/office/drawing/2010/main" Requires="a14">
        <xdr:graphicFrame macro="">
          <xdr:nvGraphicFramePr>
            <xdr:cNvPr id="14" name="Platform">
              <a:extLst>
                <a:ext uri="{FF2B5EF4-FFF2-40B4-BE49-F238E27FC236}">
                  <a16:creationId xmlns:a16="http://schemas.microsoft.com/office/drawing/2014/main" id="{0F322D94-33BF-9DEA-DEA8-946A1A04C47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07950" y="4133851"/>
              <a:ext cx="210185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30</xdr:row>
      <xdr:rowOff>50801</xdr:rowOff>
    </xdr:from>
    <xdr:to>
      <xdr:col>3</xdr:col>
      <xdr:colOff>431800</xdr:colOff>
      <xdr:row>42</xdr:row>
      <xdr:rowOff>107950</xdr:rowOff>
    </xdr:to>
    <mc:AlternateContent xmlns:mc="http://schemas.openxmlformats.org/markup-compatibility/2006">
      <mc:Choice xmlns:a14="http://schemas.microsoft.com/office/drawing/2010/main" Requires="a14">
        <xdr:graphicFrame macro="">
          <xdr:nvGraphicFramePr>
            <xdr:cNvPr id="19" name="Issue Type">
              <a:extLst>
                <a:ext uri="{FF2B5EF4-FFF2-40B4-BE49-F238E27FC236}">
                  <a16:creationId xmlns:a16="http://schemas.microsoft.com/office/drawing/2014/main" id="{2D75854E-72D1-14B9-E5C9-CD53EC5A1619}"/>
                </a:ext>
              </a:extLst>
            </xdr:cNvPr>
            <xdr:cNvGraphicFramePr/>
          </xdr:nvGraphicFramePr>
          <xdr:xfrm>
            <a:off x="0" y="0"/>
            <a:ext cx="0" cy="0"/>
          </xdr:xfrm>
          <a:graphic>
            <a:graphicData uri="http://schemas.microsoft.com/office/drawing/2010/slicer">
              <sle:slicer xmlns:sle="http://schemas.microsoft.com/office/drawing/2010/slicer" name="Issue Type"/>
            </a:graphicData>
          </a:graphic>
        </xdr:graphicFrame>
      </mc:Choice>
      <mc:Fallback>
        <xdr:sp macro="" textlink="">
          <xdr:nvSpPr>
            <xdr:cNvPr id="0" name=""/>
            <xdr:cNvSpPr>
              <a:spLocks noTextEdit="1"/>
            </xdr:cNvSpPr>
          </xdr:nvSpPr>
          <xdr:spPr>
            <a:xfrm>
              <a:off x="133350" y="5575301"/>
              <a:ext cx="2127250" cy="226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olue netochukwu" refreshedDate="46188.514439814811" createdVersion="8" refreshedVersion="8" minRefreshableVersion="3" recordCount="100" xr:uid="{7B6B71DF-82B0-4EA0-96D8-2E8B1BCBCD31}">
  <cacheSource type="worksheet">
    <worksheetSource name="Table2"/>
  </cacheSource>
  <cacheFields count="9">
    <cacheField name="Ticket ID" numFmtId="0">
      <sharedItems count="100">
        <s v="T0001"/>
        <s v="T0002"/>
        <s v="T0003"/>
        <s v="T0004"/>
        <s v="T0005"/>
        <s v="T0006"/>
        <s v="T0007"/>
        <s v="T0008"/>
        <s v="T0009"/>
        <s v="T0010"/>
        <s v="T0011"/>
        <s v="T0012"/>
        <s v="T0013"/>
        <s v="T0014"/>
        <s v="T0015"/>
        <s v="T0016"/>
        <s v="T0017"/>
        <s v="T0018"/>
        <s v="T0019"/>
        <s v="T0020"/>
        <s v="T0021"/>
        <s v="T0022"/>
        <s v="T0023"/>
        <s v="T0024"/>
        <s v="T0025"/>
        <s v="T0026"/>
        <s v="T0027"/>
        <s v="T0028"/>
        <s v="T0029"/>
        <s v="T0030"/>
        <s v="T0031"/>
        <s v="T0032"/>
        <s v="T0033"/>
        <s v="T0034"/>
        <s v="T0035"/>
        <s v="T0036"/>
        <s v="T0037"/>
        <s v="T0038"/>
        <s v="T0039"/>
        <s v="T0040"/>
        <s v="T0041"/>
        <s v="T0042"/>
        <s v="T0043"/>
        <s v="T0044"/>
        <s v="T0045"/>
        <s v="T0046"/>
        <s v="T0047"/>
        <s v="T0048"/>
        <s v="T0049"/>
        <s v="T0050"/>
        <s v="T0051"/>
        <s v="T0052"/>
        <s v="T0053"/>
        <s v="T0054"/>
        <s v="T0055"/>
        <s v="T0056"/>
        <s v="T0057"/>
        <s v="T0058"/>
        <s v="T0059"/>
        <s v="T0060"/>
        <s v="T0061"/>
        <s v="T0062"/>
        <s v="T0063"/>
        <s v="T0064"/>
        <s v="T0065"/>
        <s v="T0066"/>
        <s v="T0067"/>
        <s v="T0068"/>
        <s v="T0069"/>
        <s v="T0070"/>
        <s v="T0071"/>
        <s v="T0072"/>
        <s v="T0073"/>
        <s v="T0074"/>
        <s v="T0075"/>
        <s v="T0076"/>
        <s v="T0077"/>
        <s v="T0078"/>
        <s v="T0079"/>
        <s v="T0080"/>
        <s v="T0081"/>
        <s v="T0082"/>
        <s v="T0083"/>
        <s v="T0084"/>
        <s v="T0085"/>
        <s v="T0086"/>
        <s v="T0087"/>
        <s v="T0088"/>
        <s v="T0089"/>
        <s v="T0090"/>
        <s v="T0091"/>
        <s v="T0092"/>
        <s v="T0093"/>
        <s v="T0094"/>
        <s v="T0095"/>
        <s v="T0096"/>
        <s v="T0097"/>
        <s v="T0098"/>
        <s v="T0099"/>
        <s v="T0100"/>
      </sharedItems>
    </cacheField>
    <cacheField name="Date Submitted" numFmtId="0">
      <sharedItems containsSemiMixedTypes="0" containsString="0" containsNumber="1" containsInteger="1" minValue="45658" maxValue="45747" count="58">
        <n v="45738"/>
        <n v="45672"/>
        <n v="45661"/>
        <n v="45693"/>
        <n v="45689"/>
        <n v="45686"/>
        <n v="45675"/>
        <n v="45671"/>
        <n v="45743"/>
        <n v="45726"/>
        <n v="45669"/>
        <n v="45732"/>
        <n v="45712"/>
        <n v="45662"/>
        <n v="45685"/>
        <n v="45687"/>
        <n v="45721"/>
        <n v="45734"/>
        <n v="45728"/>
        <n v="45683"/>
        <n v="45740"/>
        <n v="45746"/>
        <n v="45711"/>
        <n v="45715"/>
        <n v="45658"/>
        <n v="45678"/>
        <n v="45701"/>
        <n v="45677"/>
        <n v="45706"/>
        <n v="45670"/>
        <n v="45703"/>
        <n v="45702"/>
        <n v="45691"/>
        <n v="45663"/>
        <n v="45716"/>
        <n v="45725"/>
        <n v="45673"/>
        <n v="45668"/>
        <n v="45727"/>
        <n v="45695"/>
        <n v="45737"/>
        <n v="45736"/>
        <n v="45704"/>
        <n v="45730"/>
        <n v="45682"/>
        <n v="45747"/>
        <n v="45666"/>
        <n v="45741"/>
        <n v="45705"/>
        <n v="45684"/>
        <n v="45742"/>
        <n v="45692"/>
        <n v="45744"/>
        <n v="45739"/>
        <n v="45667"/>
        <n v="45679"/>
        <n v="45745"/>
        <n v="45699"/>
      </sharedItems>
    </cacheField>
    <cacheField name="Issue Type" numFmtId="0">
      <sharedItems count="6">
        <s v="Login Issue"/>
        <s v="Payment Error"/>
        <s v="Feature Request"/>
        <s v="Bug Report"/>
        <s v="Account Suspension"/>
        <s v="Performance Lag"/>
      </sharedItems>
    </cacheField>
    <cacheField name="Priority" numFmtId="0">
      <sharedItems count="4">
        <s v="Urgent"/>
        <s v="Low"/>
        <s v="Medium"/>
        <s v="High"/>
      </sharedItems>
    </cacheField>
    <cacheField name="Platform" numFmtId="0">
      <sharedItems count="3">
        <s v="Web"/>
        <s v="Android"/>
        <s v="iOS"/>
      </sharedItems>
    </cacheField>
    <cacheField name="Category" numFmtId="0">
      <sharedItems count="5">
        <s v="General Inquiry"/>
        <s v="Account Management"/>
        <s v="Billing"/>
        <s v="Technical"/>
        <s v="UX/UI"/>
      </sharedItems>
    </cacheField>
    <cacheField name="Status" numFmtId="0">
      <sharedItems count="4">
        <s v="Closed"/>
        <s v="Resolved"/>
        <s v="In Progress"/>
        <s v="Open"/>
      </sharedItems>
    </cacheField>
    <cacheField name="Time to Resolution (hrs)" numFmtId="0">
      <sharedItems containsSemiMixedTypes="0" containsString="0" containsNumber="1" minValue="2.4" maxValue="70.599999999999994" count="96">
        <n v="39.4"/>
        <n v="53.3"/>
        <n v="57.9"/>
        <n v="64.8"/>
        <n v="35.9"/>
        <n v="20.7"/>
        <n v="35.700000000000003"/>
        <n v="28.9"/>
        <n v="48.7"/>
        <n v="57.8"/>
        <n v="52.6"/>
        <n v="60.8"/>
        <n v="66.3"/>
        <n v="70.599999999999994"/>
        <n v="39.200000000000003"/>
        <n v="65.400000000000006"/>
        <n v="43.2"/>
        <n v="48.2"/>
        <n v="7.4"/>
        <n v="31.7"/>
        <n v="62.6"/>
        <n v="14.3"/>
        <n v="19.8"/>
        <n v="24.6"/>
        <n v="33.6"/>
        <n v="25.3"/>
        <n v="63.5"/>
        <n v="21.1"/>
        <n v="68.599999999999994"/>
        <n v="31.2"/>
        <n v="60.4"/>
        <n v="34.700000000000003"/>
        <n v="54.3"/>
        <n v="5.2"/>
        <n v="17.3"/>
        <n v="6.3"/>
        <n v="69"/>
        <n v="4.3"/>
        <n v="3.7"/>
        <n v="18.899999999999999"/>
        <n v="60.7"/>
        <n v="45.3"/>
        <n v="18.3"/>
        <n v="34.9"/>
        <n v="9.6"/>
        <n v="68.3"/>
        <n v="34.299999999999997"/>
        <n v="19.600000000000001"/>
        <n v="27.5"/>
        <n v="44.2"/>
        <n v="69.400000000000006"/>
        <n v="52.1"/>
        <n v="56.3"/>
        <n v="13"/>
        <n v="23.4"/>
        <n v="42.3"/>
        <n v="67"/>
        <n v="42.1"/>
        <n v="65.5"/>
        <n v="28"/>
        <n v="67.900000000000006"/>
        <n v="15.5"/>
        <n v="60.1"/>
        <n v="18.600000000000001"/>
        <n v="50.7"/>
        <n v="22.8"/>
        <n v="49.7"/>
        <n v="58.3"/>
        <n v="57.6"/>
        <n v="41.4"/>
        <n v="4.4000000000000004"/>
        <n v="39.1"/>
        <n v="48.1"/>
        <n v="6.4"/>
        <n v="47.2"/>
        <n v="2.4"/>
        <n v="31.1"/>
        <n v="36.1"/>
        <n v="32.1"/>
        <n v="27"/>
        <n v="64.400000000000006"/>
        <n v="33.9"/>
        <n v="12.3"/>
        <n v="13.9"/>
        <n v="38.299999999999997"/>
        <n v="47.4"/>
        <n v="44.9"/>
        <n v="56.1"/>
        <n v="59.7"/>
        <n v="43.3"/>
        <n v="24.2"/>
        <n v="18.8"/>
        <n v="67.400000000000006"/>
        <n v="21.2"/>
        <n v="33.299999999999997"/>
        <n v="54.4"/>
      </sharedItems>
    </cacheField>
    <cacheField name="User Rating (1-5)" numFmtId="0">
      <sharedItems containsSemiMixedTypes="0" containsString="0" containsNumber="1" minValue="1" maxValue="5" count="39">
        <n v="3.3"/>
        <n v="3.7"/>
        <n v="2.2999999999999998"/>
        <n v="3"/>
        <n v="2.4"/>
        <n v="2"/>
        <n v="2.1"/>
        <n v="3.4"/>
        <n v="4.5"/>
        <n v="3.2"/>
        <n v="3.1"/>
        <n v="1.8"/>
        <n v="2.6"/>
        <n v="2.9"/>
        <n v="3.8"/>
        <n v="2.8"/>
        <n v="1.1000000000000001"/>
        <n v="2.2000000000000002"/>
        <n v="2.5"/>
        <n v="5"/>
        <n v="1.9"/>
        <n v="3.9"/>
        <n v="4"/>
        <n v="4.8"/>
        <n v="4.9000000000000004"/>
        <n v="4.3"/>
        <n v="1.5"/>
        <n v="1.2"/>
        <n v="3.6"/>
        <n v="1.4"/>
        <n v="1"/>
        <n v="4.4000000000000004"/>
        <n v="1.3"/>
        <n v="1.6"/>
        <n v="4.2"/>
        <n v="2.7"/>
        <n v="3.5"/>
        <n v="4.0999999999999996"/>
        <n v="4.5999999999999996"/>
      </sharedItems>
    </cacheField>
  </cacheFields>
  <extLst>
    <ext xmlns:x14="http://schemas.microsoft.com/office/spreadsheetml/2009/9/main" uri="{725AE2AE-9491-48be-B2B4-4EB974FC3084}">
      <x14:pivotCacheDefinition pivotCacheId="2136309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x v="0"/>
    <x v="0"/>
  </r>
  <r>
    <x v="1"/>
    <x v="1"/>
    <x v="1"/>
    <x v="1"/>
    <x v="0"/>
    <x v="1"/>
    <x v="1"/>
    <x v="1"/>
    <x v="1"/>
  </r>
  <r>
    <x v="2"/>
    <x v="2"/>
    <x v="0"/>
    <x v="2"/>
    <x v="1"/>
    <x v="0"/>
    <x v="2"/>
    <x v="2"/>
    <x v="2"/>
  </r>
  <r>
    <x v="3"/>
    <x v="3"/>
    <x v="2"/>
    <x v="2"/>
    <x v="0"/>
    <x v="2"/>
    <x v="2"/>
    <x v="3"/>
    <x v="3"/>
  </r>
  <r>
    <x v="4"/>
    <x v="4"/>
    <x v="3"/>
    <x v="0"/>
    <x v="1"/>
    <x v="2"/>
    <x v="0"/>
    <x v="4"/>
    <x v="2"/>
  </r>
  <r>
    <x v="5"/>
    <x v="5"/>
    <x v="2"/>
    <x v="2"/>
    <x v="0"/>
    <x v="2"/>
    <x v="0"/>
    <x v="5"/>
    <x v="3"/>
  </r>
  <r>
    <x v="6"/>
    <x v="6"/>
    <x v="0"/>
    <x v="3"/>
    <x v="2"/>
    <x v="3"/>
    <x v="2"/>
    <x v="6"/>
    <x v="4"/>
  </r>
  <r>
    <x v="7"/>
    <x v="7"/>
    <x v="1"/>
    <x v="0"/>
    <x v="0"/>
    <x v="0"/>
    <x v="1"/>
    <x v="7"/>
    <x v="5"/>
  </r>
  <r>
    <x v="8"/>
    <x v="8"/>
    <x v="4"/>
    <x v="2"/>
    <x v="1"/>
    <x v="2"/>
    <x v="0"/>
    <x v="8"/>
    <x v="6"/>
  </r>
  <r>
    <x v="9"/>
    <x v="9"/>
    <x v="5"/>
    <x v="2"/>
    <x v="0"/>
    <x v="4"/>
    <x v="3"/>
    <x v="9"/>
    <x v="7"/>
  </r>
  <r>
    <x v="10"/>
    <x v="10"/>
    <x v="2"/>
    <x v="3"/>
    <x v="1"/>
    <x v="0"/>
    <x v="1"/>
    <x v="10"/>
    <x v="8"/>
  </r>
  <r>
    <x v="11"/>
    <x v="11"/>
    <x v="1"/>
    <x v="0"/>
    <x v="1"/>
    <x v="0"/>
    <x v="1"/>
    <x v="11"/>
    <x v="9"/>
  </r>
  <r>
    <x v="12"/>
    <x v="12"/>
    <x v="5"/>
    <x v="3"/>
    <x v="0"/>
    <x v="3"/>
    <x v="2"/>
    <x v="12"/>
    <x v="10"/>
  </r>
  <r>
    <x v="13"/>
    <x v="13"/>
    <x v="3"/>
    <x v="0"/>
    <x v="1"/>
    <x v="1"/>
    <x v="0"/>
    <x v="13"/>
    <x v="11"/>
  </r>
  <r>
    <x v="14"/>
    <x v="2"/>
    <x v="3"/>
    <x v="0"/>
    <x v="0"/>
    <x v="3"/>
    <x v="1"/>
    <x v="14"/>
    <x v="5"/>
  </r>
  <r>
    <x v="15"/>
    <x v="10"/>
    <x v="5"/>
    <x v="1"/>
    <x v="2"/>
    <x v="2"/>
    <x v="0"/>
    <x v="15"/>
    <x v="12"/>
  </r>
  <r>
    <x v="16"/>
    <x v="14"/>
    <x v="3"/>
    <x v="2"/>
    <x v="1"/>
    <x v="4"/>
    <x v="0"/>
    <x v="16"/>
    <x v="9"/>
  </r>
  <r>
    <x v="17"/>
    <x v="15"/>
    <x v="1"/>
    <x v="2"/>
    <x v="1"/>
    <x v="4"/>
    <x v="0"/>
    <x v="17"/>
    <x v="5"/>
  </r>
  <r>
    <x v="18"/>
    <x v="16"/>
    <x v="2"/>
    <x v="1"/>
    <x v="1"/>
    <x v="2"/>
    <x v="2"/>
    <x v="18"/>
    <x v="13"/>
  </r>
  <r>
    <x v="19"/>
    <x v="17"/>
    <x v="1"/>
    <x v="3"/>
    <x v="1"/>
    <x v="4"/>
    <x v="0"/>
    <x v="19"/>
    <x v="14"/>
  </r>
  <r>
    <x v="20"/>
    <x v="2"/>
    <x v="1"/>
    <x v="1"/>
    <x v="2"/>
    <x v="3"/>
    <x v="2"/>
    <x v="20"/>
    <x v="15"/>
  </r>
  <r>
    <x v="21"/>
    <x v="18"/>
    <x v="5"/>
    <x v="2"/>
    <x v="2"/>
    <x v="3"/>
    <x v="3"/>
    <x v="21"/>
    <x v="16"/>
  </r>
  <r>
    <x v="22"/>
    <x v="19"/>
    <x v="4"/>
    <x v="2"/>
    <x v="0"/>
    <x v="2"/>
    <x v="1"/>
    <x v="22"/>
    <x v="17"/>
  </r>
  <r>
    <x v="23"/>
    <x v="20"/>
    <x v="4"/>
    <x v="1"/>
    <x v="1"/>
    <x v="4"/>
    <x v="1"/>
    <x v="23"/>
    <x v="12"/>
  </r>
  <r>
    <x v="24"/>
    <x v="21"/>
    <x v="2"/>
    <x v="1"/>
    <x v="1"/>
    <x v="0"/>
    <x v="3"/>
    <x v="24"/>
    <x v="5"/>
  </r>
  <r>
    <x v="25"/>
    <x v="9"/>
    <x v="5"/>
    <x v="1"/>
    <x v="2"/>
    <x v="1"/>
    <x v="2"/>
    <x v="25"/>
    <x v="1"/>
  </r>
  <r>
    <x v="26"/>
    <x v="22"/>
    <x v="4"/>
    <x v="2"/>
    <x v="0"/>
    <x v="0"/>
    <x v="1"/>
    <x v="26"/>
    <x v="18"/>
  </r>
  <r>
    <x v="27"/>
    <x v="5"/>
    <x v="3"/>
    <x v="1"/>
    <x v="2"/>
    <x v="3"/>
    <x v="2"/>
    <x v="27"/>
    <x v="9"/>
  </r>
  <r>
    <x v="28"/>
    <x v="23"/>
    <x v="4"/>
    <x v="1"/>
    <x v="2"/>
    <x v="3"/>
    <x v="2"/>
    <x v="28"/>
    <x v="4"/>
  </r>
  <r>
    <x v="29"/>
    <x v="11"/>
    <x v="3"/>
    <x v="3"/>
    <x v="0"/>
    <x v="3"/>
    <x v="2"/>
    <x v="29"/>
    <x v="19"/>
  </r>
  <r>
    <x v="30"/>
    <x v="3"/>
    <x v="2"/>
    <x v="1"/>
    <x v="1"/>
    <x v="3"/>
    <x v="3"/>
    <x v="30"/>
    <x v="9"/>
  </r>
  <r>
    <x v="31"/>
    <x v="24"/>
    <x v="1"/>
    <x v="2"/>
    <x v="1"/>
    <x v="1"/>
    <x v="3"/>
    <x v="31"/>
    <x v="4"/>
  </r>
  <r>
    <x v="32"/>
    <x v="25"/>
    <x v="1"/>
    <x v="3"/>
    <x v="2"/>
    <x v="2"/>
    <x v="2"/>
    <x v="32"/>
    <x v="15"/>
  </r>
  <r>
    <x v="33"/>
    <x v="21"/>
    <x v="4"/>
    <x v="0"/>
    <x v="2"/>
    <x v="3"/>
    <x v="0"/>
    <x v="33"/>
    <x v="17"/>
  </r>
  <r>
    <x v="34"/>
    <x v="12"/>
    <x v="3"/>
    <x v="2"/>
    <x v="2"/>
    <x v="4"/>
    <x v="3"/>
    <x v="28"/>
    <x v="20"/>
  </r>
  <r>
    <x v="35"/>
    <x v="26"/>
    <x v="0"/>
    <x v="2"/>
    <x v="0"/>
    <x v="1"/>
    <x v="0"/>
    <x v="34"/>
    <x v="21"/>
  </r>
  <r>
    <x v="36"/>
    <x v="3"/>
    <x v="0"/>
    <x v="0"/>
    <x v="0"/>
    <x v="3"/>
    <x v="0"/>
    <x v="35"/>
    <x v="2"/>
  </r>
  <r>
    <x v="37"/>
    <x v="27"/>
    <x v="0"/>
    <x v="2"/>
    <x v="2"/>
    <x v="4"/>
    <x v="2"/>
    <x v="36"/>
    <x v="22"/>
  </r>
  <r>
    <x v="38"/>
    <x v="14"/>
    <x v="1"/>
    <x v="0"/>
    <x v="1"/>
    <x v="3"/>
    <x v="0"/>
    <x v="37"/>
    <x v="23"/>
  </r>
  <r>
    <x v="39"/>
    <x v="26"/>
    <x v="5"/>
    <x v="0"/>
    <x v="1"/>
    <x v="2"/>
    <x v="0"/>
    <x v="38"/>
    <x v="14"/>
  </r>
  <r>
    <x v="40"/>
    <x v="7"/>
    <x v="1"/>
    <x v="2"/>
    <x v="0"/>
    <x v="1"/>
    <x v="0"/>
    <x v="39"/>
    <x v="11"/>
  </r>
  <r>
    <x v="41"/>
    <x v="10"/>
    <x v="5"/>
    <x v="1"/>
    <x v="0"/>
    <x v="2"/>
    <x v="2"/>
    <x v="40"/>
    <x v="22"/>
  </r>
  <r>
    <x v="42"/>
    <x v="28"/>
    <x v="3"/>
    <x v="1"/>
    <x v="1"/>
    <x v="1"/>
    <x v="2"/>
    <x v="41"/>
    <x v="6"/>
  </r>
  <r>
    <x v="43"/>
    <x v="29"/>
    <x v="4"/>
    <x v="0"/>
    <x v="0"/>
    <x v="3"/>
    <x v="3"/>
    <x v="42"/>
    <x v="7"/>
  </r>
  <r>
    <x v="44"/>
    <x v="30"/>
    <x v="0"/>
    <x v="3"/>
    <x v="1"/>
    <x v="3"/>
    <x v="3"/>
    <x v="43"/>
    <x v="22"/>
  </r>
  <r>
    <x v="45"/>
    <x v="31"/>
    <x v="3"/>
    <x v="0"/>
    <x v="2"/>
    <x v="1"/>
    <x v="0"/>
    <x v="44"/>
    <x v="7"/>
  </r>
  <r>
    <x v="46"/>
    <x v="17"/>
    <x v="3"/>
    <x v="0"/>
    <x v="0"/>
    <x v="4"/>
    <x v="2"/>
    <x v="45"/>
    <x v="24"/>
  </r>
  <r>
    <x v="47"/>
    <x v="32"/>
    <x v="4"/>
    <x v="0"/>
    <x v="2"/>
    <x v="4"/>
    <x v="2"/>
    <x v="46"/>
    <x v="25"/>
  </r>
  <r>
    <x v="48"/>
    <x v="33"/>
    <x v="3"/>
    <x v="1"/>
    <x v="0"/>
    <x v="3"/>
    <x v="0"/>
    <x v="47"/>
    <x v="17"/>
  </r>
  <r>
    <x v="49"/>
    <x v="34"/>
    <x v="4"/>
    <x v="1"/>
    <x v="0"/>
    <x v="3"/>
    <x v="3"/>
    <x v="48"/>
    <x v="4"/>
  </r>
  <r>
    <x v="50"/>
    <x v="35"/>
    <x v="2"/>
    <x v="1"/>
    <x v="2"/>
    <x v="2"/>
    <x v="2"/>
    <x v="49"/>
    <x v="17"/>
  </r>
  <r>
    <x v="51"/>
    <x v="36"/>
    <x v="4"/>
    <x v="0"/>
    <x v="2"/>
    <x v="3"/>
    <x v="3"/>
    <x v="50"/>
    <x v="14"/>
  </r>
  <r>
    <x v="52"/>
    <x v="28"/>
    <x v="0"/>
    <x v="3"/>
    <x v="0"/>
    <x v="1"/>
    <x v="0"/>
    <x v="51"/>
    <x v="26"/>
  </r>
  <r>
    <x v="53"/>
    <x v="37"/>
    <x v="5"/>
    <x v="1"/>
    <x v="2"/>
    <x v="4"/>
    <x v="2"/>
    <x v="52"/>
    <x v="27"/>
  </r>
  <r>
    <x v="54"/>
    <x v="38"/>
    <x v="5"/>
    <x v="2"/>
    <x v="1"/>
    <x v="4"/>
    <x v="0"/>
    <x v="53"/>
    <x v="27"/>
  </r>
  <r>
    <x v="55"/>
    <x v="39"/>
    <x v="0"/>
    <x v="2"/>
    <x v="1"/>
    <x v="2"/>
    <x v="1"/>
    <x v="54"/>
    <x v="17"/>
  </r>
  <r>
    <x v="56"/>
    <x v="40"/>
    <x v="5"/>
    <x v="2"/>
    <x v="2"/>
    <x v="4"/>
    <x v="0"/>
    <x v="55"/>
    <x v="23"/>
  </r>
  <r>
    <x v="57"/>
    <x v="41"/>
    <x v="4"/>
    <x v="0"/>
    <x v="1"/>
    <x v="4"/>
    <x v="0"/>
    <x v="56"/>
    <x v="28"/>
  </r>
  <r>
    <x v="58"/>
    <x v="42"/>
    <x v="2"/>
    <x v="2"/>
    <x v="1"/>
    <x v="0"/>
    <x v="0"/>
    <x v="57"/>
    <x v="22"/>
  </r>
  <r>
    <x v="59"/>
    <x v="43"/>
    <x v="5"/>
    <x v="0"/>
    <x v="1"/>
    <x v="1"/>
    <x v="2"/>
    <x v="58"/>
    <x v="29"/>
  </r>
  <r>
    <x v="60"/>
    <x v="44"/>
    <x v="2"/>
    <x v="2"/>
    <x v="0"/>
    <x v="0"/>
    <x v="0"/>
    <x v="59"/>
    <x v="30"/>
  </r>
  <r>
    <x v="61"/>
    <x v="45"/>
    <x v="0"/>
    <x v="3"/>
    <x v="1"/>
    <x v="4"/>
    <x v="0"/>
    <x v="60"/>
    <x v="6"/>
  </r>
  <r>
    <x v="62"/>
    <x v="46"/>
    <x v="2"/>
    <x v="0"/>
    <x v="1"/>
    <x v="2"/>
    <x v="1"/>
    <x v="61"/>
    <x v="13"/>
  </r>
  <r>
    <x v="63"/>
    <x v="33"/>
    <x v="3"/>
    <x v="2"/>
    <x v="2"/>
    <x v="2"/>
    <x v="2"/>
    <x v="16"/>
    <x v="4"/>
  </r>
  <r>
    <x v="64"/>
    <x v="47"/>
    <x v="1"/>
    <x v="1"/>
    <x v="1"/>
    <x v="4"/>
    <x v="1"/>
    <x v="62"/>
    <x v="24"/>
  </r>
  <r>
    <x v="65"/>
    <x v="15"/>
    <x v="3"/>
    <x v="0"/>
    <x v="0"/>
    <x v="3"/>
    <x v="0"/>
    <x v="63"/>
    <x v="5"/>
  </r>
  <r>
    <x v="66"/>
    <x v="39"/>
    <x v="0"/>
    <x v="1"/>
    <x v="0"/>
    <x v="0"/>
    <x v="2"/>
    <x v="64"/>
    <x v="31"/>
  </r>
  <r>
    <x v="67"/>
    <x v="37"/>
    <x v="5"/>
    <x v="1"/>
    <x v="2"/>
    <x v="4"/>
    <x v="1"/>
    <x v="65"/>
    <x v="26"/>
  </r>
  <r>
    <x v="68"/>
    <x v="15"/>
    <x v="5"/>
    <x v="1"/>
    <x v="0"/>
    <x v="2"/>
    <x v="0"/>
    <x v="66"/>
    <x v="32"/>
  </r>
  <r>
    <x v="69"/>
    <x v="29"/>
    <x v="2"/>
    <x v="1"/>
    <x v="0"/>
    <x v="2"/>
    <x v="3"/>
    <x v="67"/>
    <x v="3"/>
  </r>
  <r>
    <x v="70"/>
    <x v="28"/>
    <x v="4"/>
    <x v="2"/>
    <x v="1"/>
    <x v="0"/>
    <x v="1"/>
    <x v="68"/>
    <x v="0"/>
  </r>
  <r>
    <x v="71"/>
    <x v="3"/>
    <x v="1"/>
    <x v="2"/>
    <x v="1"/>
    <x v="1"/>
    <x v="2"/>
    <x v="69"/>
    <x v="1"/>
  </r>
  <r>
    <x v="72"/>
    <x v="34"/>
    <x v="4"/>
    <x v="0"/>
    <x v="0"/>
    <x v="4"/>
    <x v="1"/>
    <x v="70"/>
    <x v="33"/>
  </r>
  <r>
    <x v="73"/>
    <x v="0"/>
    <x v="0"/>
    <x v="0"/>
    <x v="2"/>
    <x v="4"/>
    <x v="1"/>
    <x v="71"/>
    <x v="34"/>
  </r>
  <r>
    <x v="74"/>
    <x v="42"/>
    <x v="5"/>
    <x v="0"/>
    <x v="2"/>
    <x v="1"/>
    <x v="1"/>
    <x v="72"/>
    <x v="23"/>
  </r>
  <r>
    <x v="75"/>
    <x v="25"/>
    <x v="2"/>
    <x v="2"/>
    <x v="1"/>
    <x v="0"/>
    <x v="3"/>
    <x v="73"/>
    <x v="32"/>
  </r>
  <r>
    <x v="76"/>
    <x v="48"/>
    <x v="5"/>
    <x v="0"/>
    <x v="0"/>
    <x v="0"/>
    <x v="2"/>
    <x v="74"/>
    <x v="5"/>
  </r>
  <r>
    <x v="77"/>
    <x v="30"/>
    <x v="4"/>
    <x v="1"/>
    <x v="1"/>
    <x v="2"/>
    <x v="2"/>
    <x v="75"/>
    <x v="9"/>
  </r>
  <r>
    <x v="78"/>
    <x v="49"/>
    <x v="4"/>
    <x v="2"/>
    <x v="2"/>
    <x v="1"/>
    <x v="2"/>
    <x v="76"/>
    <x v="35"/>
  </r>
  <r>
    <x v="79"/>
    <x v="50"/>
    <x v="1"/>
    <x v="0"/>
    <x v="0"/>
    <x v="0"/>
    <x v="0"/>
    <x v="77"/>
    <x v="7"/>
  </r>
  <r>
    <x v="80"/>
    <x v="51"/>
    <x v="1"/>
    <x v="1"/>
    <x v="1"/>
    <x v="3"/>
    <x v="2"/>
    <x v="78"/>
    <x v="36"/>
  </r>
  <r>
    <x v="81"/>
    <x v="21"/>
    <x v="2"/>
    <x v="0"/>
    <x v="1"/>
    <x v="4"/>
    <x v="2"/>
    <x v="79"/>
    <x v="37"/>
  </r>
  <r>
    <x v="82"/>
    <x v="52"/>
    <x v="1"/>
    <x v="3"/>
    <x v="2"/>
    <x v="2"/>
    <x v="3"/>
    <x v="80"/>
    <x v="18"/>
  </r>
  <r>
    <x v="83"/>
    <x v="53"/>
    <x v="4"/>
    <x v="0"/>
    <x v="1"/>
    <x v="1"/>
    <x v="0"/>
    <x v="81"/>
    <x v="38"/>
  </r>
  <r>
    <x v="84"/>
    <x v="54"/>
    <x v="4"/>
    <x v="3"/>
    <x v="2"/>
    <x v="2"/>
    <x v="0"/>
    <x v="82"/>
    <x v="17"/>
  </r>
  <r>
    <x v="85"/>
    <x v="17"/>
    <x v="0"/>
    <x v="0"/>
    <x v="2"/>
    <x v="0"/>
    <x v="1"/>
    <x v="83"/>
    <x v="7"/>
  </r>
  <r>
    <x v="86"/>
    <x v="0"/>
    <x v="4"/>
    <x v="0"/>
    <x v="0"/>
    <x v="0"/>
    <x v="0"/>
    <x v="84"/>
    <x v="35"/>
  </r>
  <r>
    <x v="87"/>
    <x v="55"/>
    <x v="2"/>
    <x v="2"/>
    <x v="0"/>
    <x v="3"/>
    <x v="0"/>
    <x v="85"/>
    <x v="0"/>
  </r>
  <r>
    <x v="88"/>
    <x v="35"/>
    <x v="3"/>
    <x v="2"/>
    <x v="1"/>
    <x v="4"/>
    <x v="3"/>
    <x v="86"/>
    <x v="27"/>
  </r>
  <r>
    <x v="89"/>
    <x v="4"/>
    <x v="0"/>
    <x v="3"/>
    <x v="2"/>
    <x v="1"/>
    <x v="2"/>
    <x v="12"/>
    <x v="23"/>
  </r>
  <r>
    <x v="90"/>
    <x v="25"/>
    <x v="0"/>
    <x v="2"/>
    <x v="2"/>
    <x v="2"/>
    <x v="0"/>
    <x v="87"/>
    <x v="29"/>
  </r>
  <r>
    <x v="91"/>
    <x v="34"/>
    <x v="2"/>
    <x v="1"/>
    <x v="0"/>
    <x v="4"/>
    <x v="0"/>
    <x v="46"/>
    <x v="37"/>
  </r>
  <r>
    <x v="92"/>
    <x v="28"/>
    <x v="2"/>
    <x v="1"/>
    <x v="0"/>
    <x v="0"/>
    <x v="3"/>
    <x v="88"/>
    <x v="36"/>
  </r>
  <r>
    <x v="93"/>
    <x v="51"/>
    <x v="1"/>
    <x v="3"/>
    <x v="2"/>
    <x v="4"/>
    <x v="0"/>
    <x v="89"/>
    <x v="6"/>
  </r>
  <r>
    <x v="94"/>
    <x v="0"/>
    <x v="0"/>
    <x v="1"/>
    <x v="0"/>
    <x v="2"/>
    <x v="0"/>
    <x v="90"/>
    <x v="32"/>
  </r>
  <r>
    <x v="95"/>
    <x v="56"/>
    <x v="1"/>
    <x v="1"/>
    <x v="1"/>
    <x v="4"/>
    <x v="3"/>
    <x v="91"/>
    <x v="5"/>
  </r>
  <r>
    <x v="96"/>
    <x v="18"/>
    <x v="4"/>
    <x v="0"/>
    <x v="2"/>
    <x v="0"/>
    <x v="1"/>
    <x v="92"/>
    <x v="9"/>
  </r>
  <r>
    <x v="97"/>
    <x v="5"/>
    <x v="0"/>
    <x v="2"/>
    <x v="0"/>
    <x v="4"/>
    <x v="1"/>
    <x v="93"/>
    <x v="33"/>
  </r>
  <r>
    <x v="98"/>
    <x v="52"/>
    <x v="0"/>
    <x v="1"/>
    <x v="1"/>
    <x v="1"/>
    <x v="0"/>
    <x v="94"/>
    <x v="12"/>
  </r>
  <r>
    <x v="99"/>
    <x v="57"/>
    <x v="5"/>
    <x v="1"/>
    <x v="2"/>
    <x v="4"/>
    <x v="0"/>
    <x v="95"/>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374FB-07E4-4011-B9F1-EA527B28D35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irority">
  <location ref="A16:B21" firstHeaderRow="1" firstDataRow="1" firstDataCol="1"/>
  <pivotFields count="9">
    <pivotField showAll="0"/>
    <pivotField showAll="0"/>
    <pivotField showAll="0">
      <items count="7">
        <item x="4"/>
        <item x="3"/>
        <item x="2"/>
        <item x="0"/>
        <item x="1"/>
        <item x="5"/>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6">
        <item x="1"/>
        <item x="2"/>
        <item x="0"/>
        <item x="3"/>
        <item x="4"/>
        <item t="default"/>
      </items>
    </pivotField>
    <pivotField showAll="0"/>
    <pivotField dataField="1" showAll="0">
      <items count="97">
        <item x="75"/>
        <item x="38"/>
        <item x="37"/>
        <item x="70"/>
        <item x="33"/>
        <item x="35"/>
        <item x="73"/>
        <item x="18"/>
        <item x="44"/>
        <item x="82"/>
        <item x="53"/>
        <item x="83"/>
        <item x="21"/>
        <item x="61"/>
        <item x="34"/>
        <item x="42"/>
        <item x="63"/>
        <item x="91"/>
        <item x="39"/>
        <item x="47"/>
        <item x="22"/>
        <item x="5"/>
        <item x="27"/>
        <item x="93"/>
        <item x="65"/>
        <item x="54"/>
        <item x="90"/>
        <item x="23"/>
        <item x="25"/>
        <item x="79"/>
        <item x="48"/>
        <item x="59"/>
        <item x="7"/>
        <item x="76"/>
        <item x="29"/>
        <item x="19"/>
        <item x="78"/>
        <item x="94"/>
        <item x="24"/>
        <item x="81"/>
        <item x="46"/>
        <item x="31"/>
        <item x="43"/>
        <item x="6"/>
        <item x="4"/>
        <item x="77"/>
        <item x="84"/>
        <item x="71"/>
        <item x="14"/>
        <item x="0"/>
        <item x="69"/>
        <item x="57"/>
        <item x="55"/>
        <item x="16"/>
        <item x="89"/>
        <item x="49"/>
        <item x="86"/>
        <item x="41"/>
        <item x="74"/>
        <item x="85"/>
        <item x="72"/>
        <item x="17"/>
        <item x="8"/>
        <item x="66"/>
        <item x="64"/>
        <item x="51"/>
        <item x="10"/>
        <item x="1"/>
        <item x="32"/>
        <item x="95"/>
        <item x="87"/>
        <item x="52"/>
        <item x="68"/>
        <item x="9"/>
        <item x="2"/>
        <item x="67"/>
        <item x="88"/>
        <item x="62"/>
        <item x="30"/>
        <item x="40"/>
        <item x="11"/>
        <item x="20"/>
        <item x="26"/>
        <item x="80"/>
        <item x="3"/>
        <item x="15"/>
        <item x="58"/>
        <item x="12"/>
        <item x="56"/>
        <item x="92"/>
        <item x="60"/>
        <item x="45"/>
        <item x="28"/>
        <item x="36"/>
        <item x="50"/>
        <item x="13"/>
        <item t="default"/>
      </items>
    </pivotField>
    <pivotField showAll="0"/>
  </pivotFields>
  <rowFields count="1">
    <field x="3"/>
  </rowFields>
  <rowItems count="5">
    <i>
      <x/>
    </i>
    <i>
      <x v="1"/>
    </i>
    <i>
      <x v="2"/>
    </i>
    <i>
      <x v="3"/>
    </i>
    <i t="grand">
      <x/>
    </i>
  </rowItems>
  <colItems count="1">
    <i/>
  </colItems>
  <dataFields count="1">
    <dataField name="Average of Time to Resolution (hrs)" fld="7" subtotal="average" baseField="3" baseItem="2"/>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BE55E6-D3C6-47B9-9BAB-1CC155486F9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latform">
  <location ref="I3:J7"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7">
        <item x="4"/>
        <item x="3"/>
        <item x="2"/>
        <item x="0"/>
        <item x="1"/>
        <item x="5"/>
        <item t="default"/>
      </items>
    </pivotField>
    <pivotField showAll="0">
      <items count="5">
        <item x="3"/>
        <item x="1"/>
        <item x="2"/>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6">
        <item x="1"/>
        <item x="2"/>
        <item x="0"/>
        <item x="3"/>
        <item x="4"/>
        <item t="default"/>
      </items>
    </pivotField>
    <pivotField showAll="0"/>
    <pivotField showAll="0"/>
    <pivotField showAll="0"/>
  </pivotFields>
  <rowFields count="1">
    <field x="4"/>
  </rowFields>
  <rowItems count="4">
    <i>
      <x/>
    </i>
    <i>
      <x v="2"/>
    </i>
    <i>
      <x v="1"/>
    </i>
    <i t="grand">
      <x/>
    </i>
  </rowItems>
  <colItems count="1">
    <i/>
  </colItems>
  <dataFields count="1">
    <dataField name="Count of Ticket ID" fld="0" subtotal="count" baseField="0" baseItem="0"/>
  </dataFields>
  <conditionalFormats count="1">
    <conditionalFormat priority="2">
      <pivotAreas count="1">
        <pivotArea fieldPosition="0">
          <references count="1">
            <reference field="4" count="0"/>
          </references>
        </pivotArea>
      </pivotAreas>
    </conditionalFormat>
  </conditionalFormats>
  <chartFormats count="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BFEEDB-DAC5-4A38-850F-33B33FE9677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Issue Type">
  <location ref="A3:B10" firstHeaderRow="1" firstDataRow="1" firstDataCol="1"/>
  <pivotFields count="9">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9">
        <item x="24"/>
        <item x="2"/>
        <item x="13"/>
        <item x="33"/>
        <item x="46"/>
        <item x="54"/>
        <item x="37"/>
        <item x="10"/>
        <item x="29"/>
        <item x="7"/>
        <item x="1"/>
        <item x="36"/>
        <item x="6"/>
        <item x="27"/>
        <item x="25"/>
        <item x="55"/>
        <item x="44"/>
        <item x="19"/>
        <item x="49"/>
        <item x="14"/>
        <item x="5"/>
        <item x="15"/>
        <item x="4"/>
        <item x="32"/>
        <item x="51"/>
        <item x="3"/>
        <item x="39"/>
        <item x="57"/>
        <item x="26"/>
        <item x="31"/>
        <item x="30"/>
        <item x="42"/>
        <item x="48"/>
        <item x="28"/>
        <item x="22"/>
        <item x="12"/>
        <item x="23"/>
        <item x="34"/>
        <item x="16"/>
        <item x="35"/>
        <item x="9"/>
        <item x="38"/>
        <item x="18"/>
        <item x="43"/>
        <item x="11"/>
        <item x="17"/>
        <item x="41"/>
        <item x="40"/>
        <item x="0"/>
        <item x="53"/>
        <item x="20"/>
        <item x="47"/>
        <item x="50"/>
        <item x="8"/>
        <item x="52"/>
        <item x="56"/>
        <item x="21"/>
        <item x="45"/>
        <item t="default"/>
      </items>
    </pivotField>
    <pivotField axis="axisRow"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items count="4">
        <item x="1"/>
        <item x="2"/>
        <item x="0"/>
        <item t="default"/>
      </items>
    </pivotField>
    <pivotField showAll="0">
      <items count="6">
        <item x="1"/>
        <item x="2"/>
        <item x="0"/>
        <item x="3"/>
        <item x="4"/>
        <item t="default"/>
      </items>
    </pivotField>
    <pivotField showAll="0">
      <items count="5">
        <item x="0"/>
        <item x="2"/>
        <item x="3"/>
        <item x="1"/>
        <item t="default"/>
      </items>
    </pivotField>
    <pivotField showAll="0">
      <items count="97">
        <item x="75"/>
        <item x="38"/>
        <item x="37"/>
        <item x="70"/>
        <item x="33"/>
        <item x="35"/>
        <item x="73"/>
        <item x="18"/>
        <item x="44"/>
        <item x="82"/>
        <item x="53"/>
        <item x="83"/>
        <item x="21"/>
        <item x="61"/>
        <item x="34"/>
        <item x="42"/>
        <item x="63"/>
        <item x="91"/>
        <item x="39"/>
        <item x="47"/>
        <item x="22"/>
        <item x="5"/>
        <item x="27"/>
        <item x="93"/>
        <item x="65"/>
        <item x="54"/>
        <item x="90"/>
        <item x="23"/>
        <item x="25"/>
        <item x="79"/>
        <item x="48"/>
        <item x="59"/>
        <item x="7"/>
        <item x="76"/>
        <item x="29"/>
        <item x="19"/>
        <item x="78"/>
        <item x="94"/>
        <item x="24"/>
        <item x="81"/>
        <item x="46"/>
        <item x="31"/>
        <item x="43"/>
        <item x="6"/>
        <item x="4"/>
        <item x="77"/>
        <item x="84"/>
        <item x="71"/>
        <item x="14"/>
        <item x="0"/>
        <item x="69"/>
        <item x="57"/>
        <item x="55"/>
        <item x="16"/>
        <item x="89"/>
        <item x="49"/>
        <item x="86"/>
        <item x="41"/>
        <item x="74"/>
        <item x="85"/>
        <item x="72"/>
        <item x="17"/>
        <item x="8"/>
        <item x="66"/>
        <item x="64"/>
        <item x="51"/>
        <item x="10"/>
        <item x="1"/>
        <item x="32"/>
        <item x="95"/>
        <item x="87"/>
        <item x="52"/>
        <item x="68"/>
        <item x="9"/>
        <item x="2"/>
        <item x="67"/>
        <item x="88"/>
        <item x="62"/>
        <item x="30"/>
        <item x="40"/>
        <item x="11"/>
        <item x="20"/>
        <item x="26"/>
        <item x="80"/>
        <item x="3"/>
        <item x="15"/>
        <item x="58"/>
        <item x="12"/>
        <item x="56"/>
        <item x="92"/>
        <item x="60"/>
        <item x="45"/>
        <item x="28"/>
        <item x="36"/>
        <item x="50"/>
        <item x="13"/>
        <item t="default"/>
      </items>
    </pivotField>
    <pivotField showAll="0">
      <items count="40">
        <item x="30"/>
        <item x="16"/>
        <item x="27"/>
        <item x="32"/>
        <item x="29"/>
        <item x="26"/>
        <item x="33"/>
        <item x="11"/>
        <item x="20"/>
        <item x="5"/>
        <item x="6"/>
        <item x="17"/>
        <item x="2"/>
        <item x="4"/>
        <item x="18"/>
        <item x="12"/>
        <item x="35"/>
        <item x="15"/>
        <item x="13"/>
        <item x="3"/>
        <item x="10"/>
        <item x="9"/>
        <item x="0"/>
        <item x="7"/>
        <item x="36"/>
        <item x="28"/>
        <item x="1"/>
        <item x="14"/>
        <item x="21"/>
        <item x="22"/>
        <item x="37"/>
        <item x="34"/>
        <item x="25"/>
        <item x="31"/>
        <item x="8"/>
        <item x="38"/>
        <item x="23"/>
        <item x="24"/>
        <item x="19"/>
        <item t="default"/>
      </items>
    </pivotField>
  </pivotFields>
  <rowFields count="1">
    <field x="2"/>
  </rowFields>
  <rowItems count="7">
    <i>
      <x/>
    </i>
    <i>
      <x v="3"/>
    </i>
    <i>
      <x v="4"/>
    </i>
    <i>
      <x v="5"/>
    </i>
    <i>
      <x v="2"/>
    </i>
    <i>
      <x v="1"/>
    </i>
    <i t="grand">
      <x/>
    </i>
  </rowItems>
  <colItems count="1">
    <i/>
  </colItems>
  <dataFields count="1">
    <dataField name="Count of Ticket ID" fld="0" subtotal="count" baseField="0" baseItem="0"/>
  </dataFields>
  <chartFormats count="1">
    <chartFormat chart="2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9BD253-94C9-47B7-BB19-83AD772D9E4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I16:J22" firstHeaderRow="1" firstDataRow="1" firstDataCol="1"/>
  <pivotFields count="9">
    <pivotField showAll="0"/>
    <pivotField showAll="0"/>
    <pivotField showAll="0">
      <items count="7">
        <item x="4"/>
        <item x="3"/>
        <item x="2"/>
        <item x="0"/>
        <item x="1"/>
        <item x="5"/>
        <item t="default"/>
      </items>
    </pivotField>
    <pivotField showAll="0">
      <items count="5">
        <item x="3"/>
        <item x="1"/>
        <item x="2"/>
        <item x="0"/>
        <item t="default"/>
      </items>
    </pivotField>
    <pivotField showAll="0">
      <items count="4">
        <item x="1"/>
        <item x="2"/>
        <item x="0"/>
        <item t="default"/>
      </items>
    </pivotField>
    <pivotField axis="axisRow" showAll="0" sortType="ascending">
      <items count="6">
        <item x="1"/>
        <item x="2"/>
        <item x="0"/>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6">
    <i>
      <x/>
    </i>
    <i>
      <x v="2"/>
    </i>
    <i>
      <x v="1"/>
    </i>
    <i>
      <x v="3"/>
    </i>
    <i>
      <x v="4"/>
    </i>
    <i t="grand">
      <x/>
    </i>
  </rowItems>
  <colItems count="1">
    <i/>
  </colItems>
  <dataFields count="1">
    <dataField name="Sum of User Rating (1-5)" fld="8" baseField="0" baseItem="0"/>
  </dataFields>
  <conditionalFormats count="1">
    <conditionalFormat priority="1">
      <pivotAreas count="1">
        <pivotArea fieldPosition="0">
          <references count="1">
            <reference field="5" count="0"/>
          </references>
        </pivotArea>
      </pivotAreas>
    </conditionalFormat>
  </conditional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9CC4E83A-8E24-43F8-B4EE-45010195A561}" sourceName="Priority">
  <pivotTables>
    <pivotTable tabId="4" name="PivotTable1"/>
    <pivotTable tabId="4" name="PivotTable2"/>
    <pivotTable tabId="4" name="PivotTable3"/>
    <pivotTable tabId="4" name="PivotTable4"/>
  </pivotTables>
  <data>
    <tabular pivotCacheId="2136309624">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ABC6F66-D15B-444B-A3FC-8AC317F9AA43}" sourceName="Platform">
  <pivotTables>
    <pivotTable tabId="4" name="PivotTable1"/>
    <pivotTable tabId="4" name="PivotTable2"/>
    <pivotTable tabId="4" name="PivotTable3"/>
    <pivotTable tabId="4" name="PivotTable4"/>
  </pivotTables>
  <data>
    <tabular pivotCacheId="213630962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Type" xr10:uid="{3E016768-F415-49FB-A914-F674958D5D46}" sourceName="Issue Type">
  <pivotTables>
    <pivotTable tabId="4" name="PivotTable1"/>
    <pivotTable tabId="4" name="PivotTable2"/>
    <pivotTable tabId="4" name="PivotTable3"/>
    <pivotTable tabId="4" name="PivotTable4"/>
  </pivotTables>
  <data>
    <tabular pivotCacheId="2136309624">
      <items count="6">
        <i x="4" s="1"/>
        <i x="3" s="1"/>
        <i x="2"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1AD9B316-BBA1-4397-B05B-4A0F8BF2E5FA}" cache="Slicer_Priority" caption="Priority" style="SlicerStyleOther2" rowHeight="241300"/>
  <slicer name="Platform" xr10:uid="{4F1ECF06-4405-4ED9-BEE8-711DCEAEC635}" cache="Slicer_Platform" caption="Platform" style="SlicerStyleOther2" rowHeight="241300"/>
  <slicer name="Issue Type" xr10:uid="{FDA8D398-8886-4A05-8C7F-B924D45678CD}" cache="Slicer_Issue_Type" caption="Issue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F7D4F0-F6DD-42DD-8AAF-8580F76225C8}" name="Table2" displayName="Table2" ref="A1:I101" totalsRowShown="0">
  <autoFilter ref="A1:I101" xr:uid="{1DF7D4F0-F6DD-42DD-8AAF-8580F76225C8}"/>
  <tableColumns count="9">
    <tableColumn id="1" xr3:uid="{F373D3C3-411B-45C0-A88B-33CD4088CBC5}" name="Ticket ID"/>
    <tableColumn id="2" xr3:uid="{24CABE4F-4918-4FCC-880B-B5F61EC5B0E5}" name="Date Submitted"/>
    <tableColumn id="3" xr3:uid="{AFD3D866-23FD-49F8-8BF5-5C2CFBA73150}" name="Issue Type"/>
    <tableColumn id="4" xr3:uid="{6C9DDEC1-DA30-4B4A-8408-CCBD21AAFD37}" name="Priority"/>
    <tableColumn id="5" xr3:uid="{09091F12-B0F8-48AA-A17C-1C90E1C7599E}" name="Platform"/>
    <tableColumn id="6" xr3:uid="{55A9EE1E-1219-4567-9D93-5975B41453B2}" name="Category"/>
    <tableColumn id="7" xr3:uid="{15BDBCC0-5618-4D6F-A0AE-D649AC8C8AAD}" name="Status"/>
    <tableColumn id="8" xr3:uid="{B337B12F-3C7A-46F8-A0E0-8873F485B3B1}" name="Time to Resolution (hrs)"/>
    <tableColumn id="9" xr3:uid="{4E623336-31D3-4C8F-8810-DD0D8F472764}" name="User Rating (1-5)"/>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00FB-D1F3-4689-A6E5-2A9B17B604FC}">
  <dimension ref="A1:K101"/>
  <sheetViews>
    <sheetView topLeftCell="A3" workbookViewId="0">
      <selection activeCell="G18" sqref="G18"/>
    </sheetView>
  </sheetViews>
  <sheetFormatPr defaultRowHeight="14.5" x14ac:dyDescent="0.35"/>
  <cols>
    <col min="1" max="1" width="10.08984375" customWidth="1"/>
    <col min="2" max="2" width="16" customWidth="1"/>
    <col min="3" max="3" width="17.6328125" bestFit="1" customWidth="1"/>
    <col min="4" max="4" width="9" customWidth="1"/>
    <col min="5" max="5" width="10.1796875" customWidth="1"/>
    <col min="6" max="6" width="19.26953125" bestFit="1" customWidth="1"/>
    <col min="7" max="7" width="10" bestFit="1" customWidth="1"/>
    <col min="8" max="8" width="22.90625" customWidth="1"/>
    <col min="9" max="9" width="16.7265625" customWidth="1"/>
  </cols>
  <sheetData>
    <row r="1" spans="1:11" x14ac:dyDescent="0.35">
      <c r="A1" t="s">
        <v>4</v>
      </c>
      <c r="B1" t="s">
        <v>5</v>
      </c>
      <c r="C1" t="s">
        <v>6</v>
      </c>
      <c r="D1" t="s">
        <v>7</v>
      </c>
      <c r="E1" t="s">
        <v>8</v>
      </c>
      <c r="F1" t="s">
        <v>9</v>
      </c>
      <c r="G1" t="s">
        <v>10</v>
      </c>
      <c r="H1" t="s">
        <v>11</v>
      </c>
      <c r="I1" t="s">
        <v>12</v>
      </c>
    </row>
    <row r="2" spans="1:11" x14ac:dyDescent="0.35">
      <c r="A2" t="s">
        <v>13</v>
      </c>
      <c r="B2">
        <v>45738</v>
      </c>
      <c r="C2" t="s">
        <v>14</v>
      </c>
      <c r="D2" t="s">
        <v>15</v>
      </c>
      <c r="E2" t="s">
        <v>16</v>
      </c>
      <c r="F2" t="s">
        <v>17</v>
      </c>
      <c r="G2" t="s">
        <v>18</v>
      </c>
      <c r="H2">
        <v>39.4</v>
      </c>
      <c r="I2">
        <v>3.3</v>
      </c>
    </row>
    <row r="3" spans="1:11" x14ac:dyDescent="0.35">
      <c r="A3" t="s">
        <v>20</v>
      </c>
      <c r="B3">
        <v>45672</v>
      </c>
      <c r="C3" t="s">
        <v>21</v>
      </c>
      <c r="D3" t="s">
        <v>22</v>
      </c>
      <c r="E3" t="s">
        <v>16</v>
      </c>
      <c r="F3" t="s">
        <v>23</v>
      </c>
      <c r="G3" t="s">
        <v>24</v>
      </c>
      <c r="H3">
        <v>53.3</v>
      </c>
      <c r="I3">
        <v>3.7</v>
      </c>
      <c r="K3" t="s">
        <v>142</v>
      </c>
    </row>
    <row r="4" spans="1:11" x14ac:dyDescent="0.35">
      <c r="A4" t="s">
        <v>25</v>
      </c>
      <c r="B4">
        <v>45661</v>
      </c>
      <c r="C4" t="s">
        <v>14</v>
      </c>
      <c r="D4" t="s">
        <v>26</v>
      </c>
      <c r="E4" t="s">
        <v>27</v>
      </c>
      <c r="F4" t="s">
        <v>17</v>
      </c>
      <c r="G4" t="s">
        <v>28</v>
      </c>
      <c r="H4">
        <v>57.9</v>
      </c>
      <c r="I4">
        <v>2.2999999999999998</v>
      </c>
      <c r="K4">
        <f>AVERAGE(I:I)</f>
        <v>2.874000000000001</v>
      </c>
    </row>
    <row r="5" spans="1:11" x14ac:dyDescent="0.35">
      <c r="A5" t="s">
        <v>29</v>
      </c>
      <c r="B5">
        <v>45693</v>
      </c>
      <c r="C5" t="s">
        <v>30</v>
      </c>
      <c r="D5" t="s">
        <v>26</v>
      </c>
      <c r="E5" t="s">
        <v>16</v>
      </c>
      <c r="F5" t="s">
        <v>31</v>
      </c>
      <c r="G5" t="s">
        <v>28</v>
      </c>
      <c r="H5">
        <v>64.8</v>
      </c>
      <c r="I5">
        <v>3</v>
      </c>
    </row>
    <row r="6" spans="1:11" x14ac:dyDescent="0.35">
      <c r="A6" t="s">
        <v>33</v>
      </c>
      <c r="B6">
        <v>45689</v>
      </c>
      <c r="C6" t="s">
        <v>34</v>
      </c>
      <c r="D6" t="s">
        <v>15</v>
      </c>
      <c r="E6" t="s">
        <v>27</v>
      </c>
      <c r="F6" t="s">
        <v>31</v>
      </c>
      <c r="G6" t="s">
        <v>18</v>
      </c>
      <c r="H6">
        <v>35.9</v>
      </c>
      <c r="I6">
        <v>2.2999999999999998</v>
      </c>
    </row>
    <row r="7" spans="1:11" x14ac:dyDescent="0.35">
      <c r="A7" t="s">
        <v>35</v>
      </c>
      <c r="B7">
        <v>45686</v>
      </c>
      <c r="C7" t="s">
        <v>30</v>
      </c>
      <c r="D7" t="s">
        <v>26</v>
      </c>
      <c r="E7" t="s">
        <v>16</v>
      </c>
      <c r="F7" t="s">
        <v>31</v>
      </c>
      <c r="G7" t="s">
        <v>18</v>
      </c>
      <c r="H7">
        <v>20.7</v>
      </c>
      <c r="I7">
        <v>3</v>
      </c>
    </row>
    <row r="8" spans="1:11" x14ac:dyDescent="0.35">
      <c r="A8" t="s">
        <v>37</v>
      </c>
      <c r="B8">
        <v>45675</v>
      </c>
      <c r="C8" t="s">
        <v>14</v>
      </c>
      <c r="D8" t="s">
        <v>38</v>
      </c>
      <c r="E8" t="s">
        <v>39</v>
      </c>
      <c r="F8" t="s">
        <v>40</v>
      </c>
      <c r="G8" t="s">
        <v>28</v>
      </c>
      <c r="H8">
        <v>35.700000000000003</v>
      </c>
      <c r="I8">
        <v>2.4</v>
      </c>
      <c r="K8" t="s">
        <v>19</v>
      </c>
    </row>
    <row r="9" spans="1:11" x14ac:dyDescent="0.35">
      <c r="A9" t="s">
        <v>41</v>
      </c>
      <c r="B9">
        <v>45671</v>
      </c>
      <c r="C9" t="s">
        <v>21</v>
      </c>
      <c r="D9" t="s">
        <v>15</v>
      </c>
      <c r="E9" t="s">
        <v>16</v>
      </c>
      <c r="F9" t="s">
        <v>17</v>
      </c>
      <c r="G9" t="s">
        <v>24</v>
      </c>
      <c r="H9">
        <v>28.9</v>
      </c>
      <c r="I9">
        <v>2</v>
      </c>
      <c r="K9" t="s">
        <v>0</v>
      </c>
    </row>
    <row r="10" spans="1:11" x14ac:dyDescent="0.35">
      <c r="A10" t="s">
        <v>42</v>
      </c>
      <c r="B10">
        <v>45743</v>
      </c>
      <c r="C10" t="s">
        <v>43</v>
      </c>
      <c r="D10" t="s">
        <v>26</v>
      </c>
      <c r="E10" t="s">
        <v>27</v>
      </c>
      <c r="F10" t="s">
        <v>31</v>
      </c>
      <c r="G10" t="s">
        <v>18</v>
      </c>
      <c r="H10">
        <v>48.7</v>
      </c>
      <c r="I10">
        <v>2.1</v>
      </c>
      <c r="K10" t="s">
        <v>1</v>
      </c>
    </row>
    <row r="11" spans="1:11" x14ac:dyDescent="0.35">
      <c r="A11" t="s">
        <v>44</v>
      </c>
      <c r="B11">
        <v>45726</v>
      </c>
      <c r="C11" t="s">
        <v>45</v>
      </c>
      <c r="D11" t="s">
        <v>26</v>
      </c>
      <c r="E11" t="s">
        <v>16</v>
      </c>
      <c r="F11" t="s">
        <v>46</v>
      </c>
      <c r="G11" t="s">
        <v>47</v>
      </c>
      <c r="H11">
        <v>57.8</v>
      </c>
      <c r="I11">
        <v>3.4</v>
      </c>
      <c r="K11" t="s">
        <v>32</v>
      </c>
    </row>
    <row r="12" spans="1:11" x14ac:dyDescent="0.35">
      <c r="A12" t="s">
        <v>48</v>
      </c>
      <c r="B12">
        <v>45669</v>
      </c>
      <c r="C12" t="s">
        <v>30</v>
      </c>
      <c r="D12" t="s">
        <v>38</v>
      </c>
      <c r="E12" t="s">
        <v>27</v>
      </c>
      <c r="F12" t="s">
        <v>17</v>
      </c>
      <c r="G12" t="s">
        <v>24</v>
      </c>
      <c r="H12">
        <v>52.6</v>
      </c>
      <c r="I12">
        <v>4.5</v>
      </c>
      <c r="K12" t="s">
        <v>3</v>
      </c>
    </row>
    <row r="13" spans="1:11" x14ac:dyDescent="0.35">
      <c r="A13" t="s">
        <v>49</v>
      </c>
      <c r="B13">
        <v>45732</v>
      </c>
      <c r="C13" t="s">
        <v>21</v>
      </c>
      <c r="D13" t="s">
        <v>15</v>
      </c>
      <c r="E13" t="s">
        <v>27</v>
      </c>
      <c r="F13" t="s">
        <v>17</v>
      </c>
      <c r="G13" t="s">
        <v>24</v>
      </c>
      <c r="H13">
        <v>60.8</v>
      </c>
      <c r="I13">
        <v>3.2</v>
      </c>
      <c r="K13" t="s">
        <v>36</v>
      </c>
    </row>
    <row r="14" spans="1:11" x14ac:dyDescent="0.35">
      <c r="A14" t="s">
        <v>50</v>
      </c>
      <c r="B14">
        <v>45712</v>
      </c>
      <c r="C14" t="s">
        <v>45</v>
      </c>
      <c r="D14" t="s">
        <v>38</v>
      </c>
      <c r="E14" t="s">
        <v>16</v>
      </c>
      <c r="F14" t="s">
        <v>40</v>
      </c>
      <c r="G14" t="s">
        <v>28</v>
      </c>
      <c r="H14">
        <v>66.3</v>
      </c>
      <c r="I14">
        <v>3.1</v>
      </c>
    </row>
    <row r="15" spans="1:11" x14ac:dyDescent="0.35">
      <c r="A15" t="s">
        <v>51</v>
      </c>
      <c r="B15">
        <v>45662</v>
      </c>
      <c r="C15" t="s">
        <v>34</v>
      </c>
      <c r="D15" t="s">
        <v>15</v>
      </c>
      <c r="E15" t="s">
        <v>27</v>
      </c>
      <c r="F15" t="s">
        <v>23</v>
      </c>
      <c r="G15" t="s">
        <v>18</v>
      </c>
      <c r="H15">
        <v>70.599999999999994</v>
      </c>
      <c r="I15">
        <v>1.8</v>
      </c>
    </row>
    <row r="16" spans="1:11" x14ac:dyDescent="0.35">
      <c r="A16" t="s">
        <v>52</v>
      </c>
      <c r="B16">
        <v>45661</v>
      </c>
      <c r="C16" t="s">
        <v>34</v>
      </c>
      <c r="D16" t="s">
        <v>15</v>
      </c>
      <c r="E16" t="s">
        <v>16</v>
      </c>
      <c r="F16" t="s">
        <v>40</v>
      </c>
      <c r="G16" t="s">
        <v>24</v>
      </c>
      <c r="H16">
        <v>39.200000000000003</v>
      </c>
      <c r="I16">
        <v>2</v>
      </c>
    </row>
    <row r="17" spans="1:9" x14ac:dyDescent="0.35">
      <c r="A17" t="s">
        <v>53</v>
      </c>
      <c r="B17">
        <v>45669</v>
      </c>
      <c r="C17" t="s">
        <v>45</v>
      </c>
      <c r="D17" t="s">
        <v>22</v>
      </c>
      <c r="E17" t="s">
        <v>39</v>
      </c>
      <c r="F17" t="s">
        <v>31</v>
      </c>
      <c r="G17" t="s">
        <v>18</v>
      </c>
      <c r="H17">
        <v>65.400000000000006</v>
      </c>
      <c r="I17">
        <v>2.6</v>
      </c>
    </row>
    <row r="18" spans="1:9" x14ac:dyDescent="0.35">
      <c r="A18" t="s">
        <v>54</v>
      </c>
      <c r="B18">
        <v>45685</v>
      </c>
      <c r="C18" t="s">
        <v>34</v>
      </c>
      <c r="D18" t="s">
        <v>26</v>
      </c>
      <c r="E18" t="s">
        <v>27</v>
      </c>
      <c r="F18" t="s">
        <v>46</v>
      </c>
      <c r="G18" t="s">
        <v>144</v>
      </c>
      <c r="H18">
        <v>43.2</v>
      </c>
      <c r="I18">
        <v>3.2</v>
      </c>
    </row>
    <row r="19" spans="1:9" x14ac:dyDescent="0.35">
      <c r="A19" t="s">
        <v>55</v>
      </c>
      <c r="B19">
        <v>45687</v>
      </c>
      <c r="C19" t="s">
        <v>21</v>
      </c>
      <c r="D19" t="s">
        <v>26</v>
      </c>
      <c r="E19" t="s">
        <v>27</v>
      </c>
      <c r="F19" t="s">
        <v>46</v>
      </c>
      <c r="G19" t="s">
        <v>18</v>
      </c>
      <c r="H19">
        <v>48.2</v>
      </c>
      <c r="I19">
        <v>2</v>
      </c>
    </row>
    <row r="20" spans="1:9" x14ac:dyDescent="0.35">
      <c r="A20" t="s">
        <v>56</v>
      </c>
      <c r="B20">
        <v>45721</v>
      </c>
      <c r="C20" t="s">
        <v>30</v>
      </c>
      <c r="D20" t="s">
        <v>22</v>
      </c>
      <c r="E20" t="s">
        <v>27</v>
      </c>
      <c r="F20" t="s">
        <v>31</v>
      </c>
      <c r="G20" t="s">
        <v>28</v>
      </c>
      <c r="H20">
        <v>7.4</v>
      </c>
      <c r="I20">
        <v>2.9</v>
      </c>
    </row>
    <row r="21" spans="1:9" x14ac:dyDescent="0.35">
      <c r="A21" t="s">
        <v>57</v>
      </c>
      <c r="B21">
        <v>45734</v>
      </c>
      <c r="C21" t="s">
        <v>21</v>
      </c>
      <c r="D21" t="s">
        <v>38</v>
      </c>
      <c r="E21" t="s">
        <v>27</v>
      </c>
      <c r="F21" t="s">
        <v>46</v>
      </c>
      <c r="G21" t="s">
        <v>18</v>
      </c>
      <c r="H21">
        <v>31.7</v>
      </c>
      <c r="I21">
        <v>3.8</v>
      </c>
    </row>
    <row r="22" spans="1:9" x14ac:dyDescent="0.35">
      <c r="A22" t="s">
        <v>58</v>
      </c>
      <c r="B22">
        <v>45661</v>
      </c>
      <c r="C22" t="s">
        <v>21</v>
      </c>
      <c r="D22" t="s">
        <v>22</v>
      </c>
      <c r="E22" t="s">
        <v>39</v>
      </c>
      <c r="F22" t="s">
        <v>40</v>
      </c>
      <c r="G22" t="s">
        <v>28</v>
      </c>
      <c r="H22">
        <v>62.6</v>
      </c>
      <c r="I22">
        <v>2.8</v>
      </c>
    </row>
    <row r="23" spans="1:9" x14ac:dyDescent="0.35">
      <c r="A23" t="s">
        <v>59</v>
      </c>
      <c r="B23">
        <v>45728</v>
      </c>
      <c r="C23" t="s">
        <v>45</v>
      </c>
      <c r="D23" t="s">
        <v>26</v>
      </c>
      <c r="E23" t="s">
        <v>39</v>
      </c>
      <c r="F23" t="s">
        <v>40</v>
      </c>
      <c r="G23" t="s">
        <v>47</v>
      </c>
      <c r="H23">
        <v>14.3</v>
      </c>
      <c r="I23">
        <v>1.1000000000000001</v>
      </c>
    </row>
    <row r="24" spans="1:9" x14ac:dyDescent="0.35">
      <c r="A24" t="s">
        <v>60</v>
      </c>
      <c r="B24">
        <v>45683</v>
      </c>
      <c r="C24" t="s">
        <v>43</v>
      </c>
      <c r="D24" t="s">
        <v>26</v>
      </c>
      <c r="E24" t="s">
        <v>16</v>
      </c>
      <c r="F24" t="s">
        <v>31</v>
      </c>
      <c r="G24" t="s">
        <v>24</v>
      </c>
      <c r="H24">
        <v>19.8</v>
      </c>
      <c r="I24">
        <v>2.2000000000000002</v>
      </c>
    </row>
    <row r="25" spans="1:9" x14ac:dyDescent="0.35">
      <c r="A25" t="s">
        <v>61</v>
      </c>
      <c r="B25">
        <v>45740</v>
      </c>
      <c r="C25" t="s">
        <v>43</v>
      </c>
      <c r="D25" t="s">
        <v>22</v>
      </c>
      <c r="E25" t="s">
        <v>27</v>
      </c>
      <c r="F25" t="s">
        <v>46</v>
      </c>
      <c r="G25" t="s">
        <v>24</v>
      </c>
      <c r="H25">
        <v>24.6</v>
      </c>
      <c r="I25">
        <v>2.6</v>
      </c>
    </row>
    <row r="26" spans="1:9" x14ac:dyDescent="0.35">
      <c r="A26" t="s">
        <v>62</v>
      </c>
      <c r="B26">
        <v>45746</v>
      </c>
      <c r="C26" t="s">
        <v>30</v>
      </c>
      <c r="D26" t="s">
        <v>22</v>
      </c>
      <c r="E26" t="s">
        <v>27</v>
      </c>
      <c r="F26" t="s">
        <v>17</v>
      </c>
      <c r="G26" t="s">
        <v>47</v>
      </c>
      <c r="H26">
        <v>33.6</v>
      </c>
      <c r="I26">
        <v>2</v>
      </c>
    </row>
    <row r="27" spans="1:9" x14ac:dyDescent="0.35">
      <c r="A27" t="s">
        <v>63</v>
      </c>
      <c r="B27">
        <v>45726</v>
      </c>
      <c r="C27" t="s">
        <v>45</v>
      </c>
      <c r="D27" t="s">
        <v>22</v>
      </c>
      <c r="E27" t="s">
        <v>39</v>
      </c>
      <c r="F27" t="s">
        <v>23</v>
      </c>
      <c r="G27" t="s">
        <v>28</v>
      </c>
      <c r="H27">
        <v>25.3</v>
      </c>
      <c r="I27">
        <v>3.7</v>
      </c>
    </row>
    <row r="28" spans="1:9" x14ac:dyDescent="0.35">
      <c r="A28" t="s">
        <v>64</v>
      </c>
      <c r="B28">
        <v>45711</v>
      </c>
      <c r="C28" t="s">
        <v>43</v>
      </c>
      <c r="D28" t="s">
        <v>26</v>
      </c>
      <c r="E28" t="s">
        <v>16</v>
      </c>
      <c r="F28" t="s">
        <v>17</v>
      </c>
      <c r="G28" t="s">
        <v>24</v>
      </c>
      <c r="H28">
        <v>63.5</v>
      </c>
      <c r="I28">
        <v>2.5</v>
      </c>
    </row>
    <row r="29" spans="1:9" x14ac:dyDescent="0.35">
      <c r="A29" t="s">
        <v>65</v>
      </c>
      <c r="B29">
        <v>45686</v>
      </c>
      <c r="C29" t="s">
        <v>34</v>
      </c>
      <c r="D29" t="s">
        <v>22</v>
      </c>
      <c r="E29" t="s">
        <v>39</v>
      </c>
      <c r="F29" t="s">
        <v>40</v>
      </c>
      <c r="G29" t="s">
        <v>28</v>
      </c>
      <c r="H29">
        <v>21.1</v>
      </c>
      <c r="I29">
        <v>3.2</v>
      </c>
    </row>
    <row r="30" spans="1:9" x14ac:dyDescent="0.35">
      <c r="A30" t="s">
        <v>66</v>
      </c>
      <c r="B30">
        <v>45715</v>
      </c>
      <c r="C30" t="s">
        <v>43</v>
      </c>
      <c r="D30" t="s">
        <v>22</v>
      </c>
      <c r="E30" t="s">
        <v>39</v>
      </c>
      <c r="F30" t="s">
        <v>40</v>
      </c>
      <c r="G30" t="s">
        <v>28</v>
      </c>
      <c r="H30">
        <v>68.599999999999994</v>
      </c>
      <c r="I30">
        <v>2.4</v>
      </c>
    </row>
    <row r="31" spans="1:9" x14ac:dyDescent="0.35">
      <c r="A31" t="s">
        <v>67</v>
      </c>
      <c r="B31">
        <v>45732</v>
      </c>
      <c r="C31" t="s">
        <v>34</v>
      </c>
      <c r="D31" t="s">
        <v>38</v>
      </c>
      <c r="E31" t="s">
        <v>16</v>
      </c>
      <c r="F31" t="s">
        <v>40</v>
      </c>
      <c r="G31" t="s">
        <v>28</v>
      </c>
      <c r="H31">
        <v>31.2</v>
      </c>
      <c r="I31">
        <v>5</v>
      </c>
    </row>
    <row r="32" spans="1:9" x14ac:dyDescent="0.35">
      <c r="A32" t="s">
        <v>68</v>
      </c>
      <c r="B32">
        <v>45693</v>
      </c>
      <c r="C32" t="s">
        <v>30</v>
      </c>
      <c r="D32" t="s">
        <v>22</v>
      </c>
      <c r="E32" t="s">
        <v>27</v>
      </c>
      <c r="F32" t="s">
        <v>40</v>
      </c>
      <c r="G32" t="s">
        <v>47</v>
      </c>
      <c r="H32">
        <v>60.4</v>
      </c>
      <c r="I32">
        <v>3.2</v>
      </c>
    </row>
    <row r="33" spans="1:9" x14ac:dyDescent="0.35">
      <c r="A33" t="s">
        <v>69</v>
      </c>
      <c r="B33">
        <v>45658</v>
      </c>
      <c r="C33" t="s">
        <v>21</v>
      </c>
      <c r="D33" t="s">
        <v>26</v>
      </c>
      <c r="E33" t="s">
        <v>27</v>
      </c>
      <c r="F33" t="s">
        <v>23</v>
      </c>
      <c r="G33" t="s">
        <v>47</v>
      </c>
      <c r="H33">
        <v>34.700000000000003</v>
      </c>
      <c r="I33">
        <v>2.4</v>
      </c>
    </row>
    <row r="34" spans="1:9" x14ac:dyDescent="0.35">
      <c r="A34" t="s">
        <v>70</v>
      </c>
      <c r="B34">
        <v>45678</v>
      </c>
      <c r="C34" t="s">
        <v>21</v>
      </c>
      <c r="D34" t="s">
        <v>38</v>
      </c>
      <c r="E34" t="s">
        <v>39</v>
      </c>
      <c r="F34" t="s">
        <v>31</v>
      </c>
      <c r="G34" t="s">
        <v>28</v>
      </c>
      <c r="H34">
        <v>54.3</v>
      </c>
      <c r="I34">
        <v>2.8</v>
      </c>
    </row>
    <row r="35" spans="1:9" x14ac:dyDescent="0.35">
      <c r="A35" t="s">
        <v>71</v>
      </c>
      <c r="B35">
        <v>45746</v>
      </c>
      <c r="C35" t="s">
        <v>43</v>
      </c>
      <c r="D35" t="s">
        <v>15</v>
      </c>
      <c r="E35" t="s">
        <v>39</v>
      </c>
      <c r="F35" t="s">
        <v>40</v>
      </c>
      <c r="G35" t="s">
        <v>18</v>
      </c>
      <c r="H35">
        <v>5.2</v>
      </c>
      <c r="I35">
        <v>2.2000000000000002</v>
      </c>
    </row>
    <row r="36" spans="1:9" x14ac:dyDescent="0.35">
      <c r="A36" t="s">
        <v>72</v>
      </c>
      <c r="B36">
        <v>45712</v>
      </c>
      <c r="C36" t="s">
        <v>34</v>
      </c>
      <c r="D36" t="s">
        <v>26</v>
      </c>
      <c r="E36" t="s">
        <v>39</v>
      </c>
      <c r="F36" t="s">
        <v>46</v>
      </c>
      <c r="G36" t="s">
        <v>47</v>
      </c>
      <c r="H36">
        <v>68.599999999999994</v>
      </c>
      <c r="I36">
        <v>1.9</v>
      </c>
    </row>
    <row r="37" spans="1:9" x14ac:dyDescent="0.35">
      <c r="A37" t="s">
        <v>73</v>
      </c>
      <c r="B37">
        <v>45701</v>
      </c>
      <c r="C37" t="s">
        <v>14</v>
      </c>
      <c r="D37" t="s">
        <v>26</v>
      </c>
      <c r="E37" t="s">
        <v>16</v>
      </c>
      <c r="F37" t="s">
        <v>23</v>
      </c>
      <c r="G37" t="s">
        <v>18</v>
      </c>
      <c r="H37">
        <v>17.3</v>
      </c>
      <c r="I37">
        <v>3.9</v>
      </c>
    </row>
    <row r="38" spans="1:9" x14ac:dyDescent="0.35">
      <c r="A38" t="s">
        <v>74</v>
      </c>
      <c r="B38">
        <v>45693</v>
      </c>
      <c r="C38" t="s">
        <v>14</v>
      </c>
      <c r="D38" t="s">
        <v>15</v>
      </c>
      <c r="E38" t="s">
        <v>16</v>
      </c>
      <c r="F38" t="s">
        <v>40</v>
      </c>
      <c r="G38" t="s">
        <v>18</v>
      </c>
      <c r="H38">
        <v>6.3</v>
      </c>
      <c r="I38">
        <v>2.2999999999999998</v>
      </c>
    </row>
    <row r="39" spans="1:9" x14ac:dyDescent="0.35">
      <c r="A39" t="s">
        <v>75</v>
      </c>
      <c r="B39">
        <v>45677</v>
      </c>
      <c r="C39" t="s">
        <v>14</v>
      </c>
      <c r="D39" t="s">
        <v>26</v>
      </c>
      <c r="E39" t="s">
        <v>39</v>
      </c>
      <c r="F39" t="s">
        <v>46</v>
      </c>
      <c r="G39" t="s">
        <v>28</v>
      </c>
      <c r="H39">
        <v>69</v>
      </c>
      <c r="I39">
        <v>4</v>
      </c>
    </row>
    <row r="40" spans="1:9" x14ac:dyDescent="0.35">
      <c r="A40" t="s">
        <v>76</v>
      </c>
      <c r="B40">
        <v>45685</v>
      </c>
      <c r="C40" t="s">
        <v>21</v>
      </c>
      <c r="D40" t="s">
        <v>15</v>
      </c>
      <c r="E40" t="s">
        <v>27</v>
      </c>
      <c r="F40" t="s">
        <v>40</v>
      </c>
      <c r="G40" t="s">
        <v>18</v>
      </c>
      <c r="H40">
        <v>4.3</v>
      </c>
      <c r="I40">
        <v>4.8</v>
      </c>
    </row>
    <row r="41" spans="1:9" x14ac:dyDescent="0.35">
      <c r="A41" t="s">
        <v>77</v>
      </c>
      <c r="B41">
        <v>45701</v>
      </c>
      <c r="C41" t="s">
        <v>45</v>
      </c>
      <c r="D41" t="s">
        <v>15</v>
      </c>
      <c r="E41" t="s">
        <v>27</v>
      </c>
      <c r="F41" t="s">
        <v>31</v>
      </c>
      <c r="G41" t="s">
        <v>18</v>
      </c>
      <c r="H41">
        <v>3.7</v>
      </c>
      <c r="I41">
        <v>3.8</v>
      </c>
    </row>
    <row r="42" spans="1:9" x14ac:dyDescent="0.35">
      <c r="A42" t="s">
        <v>78</v>
      </c>
      <c r="B42">
        <v>45671</v>
      </c>
      <c r="C42" t="s">
        <v>21</v>
      </c>
      <c r="D42" t="s">
        <v>26</v>
      </c>
      <c r="E42" t="s">
        <v>16</v>
      </c>
      <c r="F42" t="s">
        <v>23</v>
      </c>
      <c r="G42" t="s">
        <v>18</v>
      </c>
      <c r="H42">
        <v>18.899999999999999</v>
      </c>
      <c r="I42">
        <v>1.8</v>
      </c>
    </row>
    <row r="43" spans="1:9" x14ac:dyDescent="0.35">
      <c r="A43" t="s">
        <v>79</v>
      </c>
      <c r="B43">
        <v>45669</v>
      </c>
      <c r="C43" t="s">
        <v>45</v>
      </c>
      <c r="D43" t="s">
        <v>22</v>
      </c>
      <c r="E43" t="s">
        <v>16</v>
      </c>
      <c r="F43" t="s">
        <v>31</v>
      </c>
      <c r="G43" t="s">
        <v>28</v>
      </c>
      <c r="H43">
        <v>60.7</v>
      </c>
      <c r="I43">
        <v>4</v>
      </c>
    </row>
    <row r="44" spans="1:9" x14ac:dyDescent="0.35">
      <c r="A44" t="s">
        <v>80</v>
      </c>
      <c r="B44">
        <v>45706</v>
      </c>
      <c r="C44" t="s">
        <v>34</v>
      </c>
      <c r="D44" t="s">
        <v>22</v>
      </c>
      <c r="E44" t="s">
        <v>27</v>
      </c>
      <c r="F44" t="s">
        <v>23</v>
      </c>
      <c r="G44" t="s">
        <v>28</v>
      </c>
      <c r="H44">
        <v>45.3</v>
      </c>
      <c r="I44">
        <v>2.1</v>
      </c>
    </row>
    <row r="45" spans="1:9" x14ac:dyDescent="0.35">
      <c r="A45" t="s">
        <v>81</v>
      </c>
      <c r="B45">
        <v>45670</v>
      </c>
      <c r="C45" t="s">
        <v>43</v>
      </c>
      <c r="D45" t="s">
        <v>15</v>
      </c>
      <c r="E45" t="s">
        <v>16</v>
      </c>
      <c r="F45" t="s">
        <v>40</v>
      </c>
      <c r="G45" t="s">
        <v>47</v>
      </c>
      <c r="H45">
        <v>18.3</v>
      </c>
      <c r="I45">
        <v>3.4</v>
      </c>
    </row>
    <row r="46" spans="1:9" x14ac:dyDescent="0.35">
      <c r="A46" t="s">
        <v>82</v>
      </c>
      <c r="B46">
        <v>45703</v>
      </c>
      <c r="C46" t="s">
        <v>14</v>
      </c>
      <c r="D46" t="s">
        <v>38</v>
      </c>
      <c r="E46" t="s">
        <v>27</v>
      </c>
      <c r="F46" t="s">
        <v>40</v>
      </c>
      <c r="G46" t="s">
        <v>47</v>
      </c>
      <c r="H46">
        <v>34.9</v>
      </c>
      <c r="I46">
        <v>4</v>
      </c>
    </row>
    <row r="47" spans="1:9" x14ac:dyDescent="0.35">
      <c r="A47" t="s">
        <v>83</v>
      </c>
      <c r="B47">
        <v>45702</v>
      </c>
      <c r="C47" t="s">
        <v>34</v>
      </c>
      <c r="D47" t="s">
        <v>15</v>
      </c>
      <c r="E47" t="s">
        <v>39</v>
      </c>
      <c r="F47" t="s">
        <v>23</v>
      </c>
      <c r="G47" t="s">
        <v>18</v>
      </c>
      <c r="H47">
        <v>9.6</v>
      </c>
      <c r="I47">
        <v>3.4</v>
      </c>
    </row>
    <row r="48" spans="1:9" x14ac:dyDescent="0.35">
      <c r="A48" t="s">
        <v>84</v>
      </c>
      <c r="B48">
        <v>45734</v>
      </c>
      <c r="C48" t="s">
        <v>34</v>
      </c>
      <c r="D48" t="s">
        <v>15</v>
      </c>
      <c r="E48" t="s">
        <v>16</v>
      </c>
      <c r="F48" t="s">
        <v>46</v>
      </c>
      <c r="G48" t="s">
        <v>28</v>
      </c>
      <c r="H48">
        <v>68.3</v>
      </c>
      <c r="I48">
        <v>4.9000000000000004</v>
      </c>
    </row>
    <row r="49" spans="1:9" x14ac:dyDescent="0.35">
      <c r="A49" t="s">
        <v>85</v>
      </c>
      <c r="B49">
        <v>45691</v>
      </c>
      <c r="C49" t="s">
        <v>43</v>
      </c>
      <c r="D49" t="s">
        <v>15</v>
      </c>
      <c r="E49" t="s">
        <v>39</v>
      </c>
      <c r="F49" t="s">
        <v>46</v>
      </c>
      <c r="G49" t="s">
        <v>28</v>
      </c>
      <c r="H49">
        <v>34.299999999999997</v>
      </c>
      <c r="I49">
        <v>4.3</v>
      </c>
    </row>
    <row r="50" spans="1:9" x14ac:dyDescent="0.35">
      <c r="A50" t="s">
        <v>86</v>
      </c>
      <c r="B50">
        <v>45663</v>
      </c>
      <c r="C50" t="s">
        <v>34</v>
      </c>
      <c r="D50" t="s">
        <v>22</v>
      </c>
      <c r="E50" t="s">
        <v>16</v>
      </c>
      <c r="F50" t="s">
        <v>40</v>
      </c>
      <c r="G50" t="s">
        <v>18</v>
      </c>
      <c r="H50">
        <v>19.600000000000001</v>
      </c>
      <c r="I50">
        <v>2.2000000000000002</v>
      </c>
    </row>
    <row r="51" spans="1:9" x14ac:dyDescent="0.35">
      <c r="A51" t="s">
        <v>87</v>
      </c>
      <c r="B51">
        <v>45716</v>
      </c>
      <c r="C51" t="s">
        <v>43</v>
      </c>
      <c r="D51" t="s">
        <v>22</v>
      </c>
      <c r="E51" t="s">
        <v>16</v>
      </c>
      <c r="F51" t="s">
        <v>40</v>
      </c>
      <c r="G51" t="s">
        <v>47</v>
      </c>
      <c r="H51">
        <v>27.5</v>
      </c>
      <c r="I51">
        <v>2.4</v>
      </c>
    </row>
    <row r="52" spans="1:9" x14ac:dyDescent="0.35">
      <c r="A52" t="s">
        <v>88</v>
      </c>
      <c r="B52">
        <v>45725</v>
      </c>
      <c r="C52" t="s">
        <v>30</v>
      </c>
      <c r="D52" t="s">
        <v>22</v>
      </c>
      <c r="E52" t="s">
        <v>39</v>
      </c>
      <c r="F52" t="s">
        <v>31</v>
      </c>
      <c r="G52" t="s">
        <v>28</v>
      </c>
      <c r="H52">
        <v>44.2</v>
      </c>
      <c r="I52">
        <v>2.2000000000000002</v>
      </c>
    </row>
    <row r="53" spans="1:9" x14ac:dyDescent="0.35">
      <c r="A53" t="s">
        <v>89</v>
      </c>
      <c r="B53">
        <v>45673</v>
      </c>
      <c r="C53" t="s">
        <v>43</v>
      </c>
      <c r="D53" t="s">
        <v>15</v>
      </c>
      <c r="E53" t="s">
        <v>39</v>
      </c>
      <c r="F53" t="s">
        <v>40</v>
      </c>
      <c r="G53" t="s">
        <v>47</v>
      </c>
      <c r="H53">
        <v>69.400000000000006</v>
      </c>
      <c r="I53">
        <v>3.8</v>
      </c>
    </row>
    <row r="54" spans="1:9" x14ac:dyDescent="0.35">
      <c r="A54" t="s">
        <v>90</v>
      </c>
      <c r="B54">
        <v>45706</v>
      </c>
      <c r="C54" t="s">
        <v>14</v>
      </c>
      <c r="D54" t="s">
        <v>38</v>
      </c>
      <c r="E54" t="s">
        <v>16</v>
      </c>
      <c r="F54" t="s">
        <v>23</v>
      </c>
      <c r="G54" t="s">
        <v>18</v>
      </c>
      <c r="H54">
        <v>52.1</v>
      </c>
      <c r="I54">
        <v>1.5</v>
      </c>
    </row>
    <row r="55" spans="1:9" x14ac:dyDescent="0.35">
      <c r="A55" t="s">
        <v>91</v>
      </c>
      <c r="B55">
        <v>45668</v>
      </c>
      <c r="C55" t="s">
        <v>45</v>
      </c>
      <c r="D55" t="s">
        <v>22</v>
      </c>
      <c r="E55" t="s">
        <v>39</v>
      </c>
      <c r="F55" t="s">
        <v>46</v>
      </c>
      <c r="G55" t="s">
        <v>28</v>
      </c>
      <c r="H55">
        <v>56.3</v>
      </c>
      <c r="I55">
        <v>1.2</v>
      </c>
    </row>
    <row r="56" spans="1:9" x14ac:dyDescent="0.35">
      <c r="A56" t="s">
        <v>92</v>
      </c>
      <c r="B56">
        <v>45727</v>
      </c>
      <c r="C56" t="s">
        <v>45</v>
      </c>
      <c r="D56" t="s">
        <v>26</v>
      </c>
      <c r="E56" t="s">
        <v>27</v>
      </c>
      <c r="F56" t="s">
        <v>46</v>
      </c>
      <c r="G56" t="s">
        <v>18</v>
      </c>
      <c r="H56">
        <v>13</v>
      </c>
      <c r="I56">
        <v>1.2</v>
      </c>
    </row>
    <row r="57" spans="1:9" x14ac:dyDescent="0.35">
      <c r="A57" t="s">
        <v>93</v>
      </c>
      <c r="B57">
        <v>45695</v>
      </c>
      <c r="C57" t="s">
        <v>14</v>
      </c>
      <c r="D57" t="s">
        <v>26</v>
      </c>
      <c r="E57" t="s">
        <v>27</v>
      </c>
      <c r="F57" t="s">
        <v>31</v>
      </c>
      <c r="G57" t="s">
        <v>24</v>
      </c>
      <c r="H57">
        <v>23.4</v>
      </c>
      <c r="I57">
        <v>2.2000000000000002</v>
      </c>
    </row>
    <row r="58" spans="1:9" x14ac:dyDescent="0.35">
      <c r="A58" t="s">
        <v>94</v>
      </c>
      <c r="B58">
        <v>45737</v>
      </c>
      <c r="C58" t="s">
        <v>45</v>
      </c>
      <c r="D58" t="s">
        <v>26</v>
      </c>
      <c r="E58" t="s">
        <v>39</v>
      </c>
      <c r="F58" t="s">
        <v>46</v>
      </c>
      <c r="G58" t="s">
        <v>18</v>
      </c>
      <c r="H58">
        <v>42.3</v>
      </c>
      <c r="I58">
        <v>4.8</v>
      </c>
    </row>
    <row r="59" spans="1:9" x14ac:dyDescent="0.35">
      <c r="A59" t="s">
        <v>95</v>
      </c>
      <c r="B59">
        <v>45736</v>
      </c>
      <c r="C59" t="s">
        <v>43</v>
      </c>
      <c r="D59" t="s">
        <v>15</v>
      </c>
      <c r="E59" t="s">
        <v>27</v>
      </c>
      <c r="F59" t="s">
        <v>46</v>
      </c>
      <c r="G59" t="s">
        <v>18</v>
      </c>
      <c r="H59">
        <v>67</v>
      </c>
      <c r="I59">
        <v>3.6</v>
      </c>
    </row>
    <row r="60" spans="1:9" x14ac:dyDescent="0.35">
      <c r="A60" t="s">
        <v>96</v>
      </c>
      <c r="B60">
        <v>45704</v>
      </c>
      <c r="C60" t="s">
        <v>30</v>
      </c>
      <c r="D60" t="s">
        <v>26</v>
      </c>
      <c r="E60" t="s">
        <v>27</v>
      </c>
      <c r="F60" t="s">
        <v>17</v>
      </c>
      <c r="G60" t="s">
        <v>18</v>
      </c>
      <c r="H60">
        <v>42.1</v>
      </c>
      <c r="I60">
        <v>4</v>
      </c>
    </row>
    <row r="61" spans="1:9" x14ac:dyDescent="0.35">
      <c r="A61" t="s">
        <v>97</v>
      </c>
      <c r="B61">
        <v>45730</v>
      </c>
      <c r="C61" t="s">
        <v>45</v>
      </c>
      <c r="D61" t="s">
        <v>15</v>
      </c>
      <c r="E61" t="s">
        <v>27</v>
      </c>
      <c r="F61" t="s">
        <v>23</v>
      </c>
      <c r="G61" t="s">
        <v>28</v>
      </c>
      <c r="H61">
        <v>65.5</v>
      </c>
      <c r="I61">
        <v>1.4</v>
      </c>
    </row>
    <row r="62" spans="1:9" x14ac:dyDescent="0.35">
      <c r="A62" t="s">
        <v>98</v>
      </c>
      <c r="B62">
        <v>45682</v>
      </c>
      <c r="C62" t="s">
        <v>30</v>
      </c>
      <c r="D62" t="s">
        <v>26</v>
      </c>
      <c r="E62" t="s">
        <v>16</v>
      </c>
      <c r="F62" t="s">
        <v>17</v>
      </c>
      <c r="G62" t="s">
        <v>18</v>
      </c>
      <c r="H62">
        <v>28</v>
      </c>
      <c r="I62">
        <v>1</v>
      </c>
    </row>
    <row r="63" spans="1:9" x14ac:dyDescent="0.35">
      <c r="A63" t="s">
        <v>99</v>
      </c>
      <c r="B63">
        <v>45747</v>
      </c>
      <c r="C63" t="s">
        <v>14</v>
      </c>
      <c r="D63" t="s">
        <v>38</v>
      </c>
      <c r="E63" t="s">
        <v>27</v>
      </c>
      <c r="F63" t="s">
        <v>46</v>
      </c>
      <c r="G63" t="s">
        <v>18</v>
      </c>
      <c r="H63">
        <v>67.900000000000006</v>
      </c>
      <c r="I63">
        <v>2.1</v>
      </c>
    </row>
    <row r="64" spans="1:9" x14ac:dyDescent="0.35">
      <c r="A64" t="s">
        <v>100</v>
      </c>
      <c r="B64">
        <v>45666</v>
      </c>
      <c r="C64" t="s">
        <v>30</v>
      </c>
      <c r="D64" t="s">
        <v>15</v>
      </c>
      <c r="E64" t="s">
        <v>27</v>
      </c>
      <c r="F64" t="s">
        <v>31</v>
      </c>
      <c r="G64" t="s">
        <v>24</v>
      </c>
      <c r="H64">
        <v>15.5</v>
      </c>
      <c r="I64">
        <v>2.9</v>
      </c>
    </row>
    <row r="65" spans="1:9" x14ac:dyDescent="0.35">
      <c r="A65" t="s">
        <v>101</v>
      </c>
      <c r="B65">
        <v>45663</v>
      </c>
      <c r="C65" t="s">
        <v>34</v>
      </c>
      <c r="D65" t="s">
        <v>26</v>
      </c>
      <c r="E65" t="s">
        <v>39</v>
      </c>
      <c r="F65" t="s">
        <v>31</v>
      </c>
      <c r="G65" t="s">
        <v>28</v>
      </c>
      <c r="H65">
        <v>43.2</v>
      </c>
      <c r="I65">
        <v>2.4</v>
      </c>
    </row>
    <row r="66" spans="1:9" x14ac:dyDescent="0.35">
      <c r="A66" t="s">
        <v>102</v>
      </c>
      <c r="B66">
        <v>45741</v>
      </c>
      <c r="C66" t="s">
        <v>21</v>
      </c>
      <c r="D66" t="s">
        <v>22</v>
      </c>
      <c r="E66" t="s">
        <v>27</v>
      </c>
      <c r="F66" t="s">
        <v>46</v>
      </c>
      <c r="G66" t="s">
        <v>24</v>
      </c>
      <c r="H66">
        <v>60.1</v>
      </c>
      <c r="I66">
        <v>4.9000000000000004</v>
      </c>
    </row>
    <row r="67" spans="1:9" x14ac:dyDescent="0.35">
      <c r="A67" t="s">
        <v>103</v>
      </c>
      <c r="B67">
        <v>45687</v>
      </c>
      <c r="C67" t="s">
        <v>34</v>
      </c>
      <c r="D67" t="s">
        <v>15</v>
      </c>
      <c r="E67" t="s">
        <v>16</v>
      </c>
      <c r="F67" t="s">
        <v>40</v>
      </c>
      <c r="G67" t="s">
        <v>18</v>
      </c>
      <c r="H67">
        <v>18.600000000000001</v>
      </c>
      <c r="I67">
        <v>2</v>
      </c>
    </row>
    <row r="68" spans="1:9" x14ac:dyDescent="0.35">
      <c r="A68" t="s">
        <v>104</v>
      </c>
      <c r="B68">
        <v>45695</v>
      </c>
      <c r="C68" t="s">
        <v>14</v>
      </c>
      <c r="D68" t="s">
        <v>22</v>
      </c>
      <c r="E68" t="s">
        <v>16</v>
      </c>
      <c r="F68" t="s">
        <v>17</v>
      </c>
      <c r="G68" t="s">
        <v>28</v>
      </c>
      <c r="H68">
        <v>50.7</v>
      </c>
      <c r="I68">
        <v>4.4000000000000004</v>
      </c>
    </row>
    <row r="69" spans="1:9" x14ac:dyDescent="0.35">
      <c r="A69" t="s">
        <v>105</v>
      </c>
      <c r="B69">
        <v>45668</v>
      </c>
      <c r="C69" t="s">
        <v>45</v>
      </c>
      <c r="D69" t="s">
        <v>22</v>
      </c>
      <c r="E69" t="s">
        <v>39</v>
      </c>
      <c r="F69" t="s">
        <v>46</v>
      </c>
      <c r="G69" t="s">
        <v>24</v>
      </c>
      <c r="H69">
        <v>22.8</v>
      </c>
      <c r="I69">
        <v>1.5</v>
      </c>
    </row>
    <row r="70" spans="1:9" x14ac:dyDescent="0.35">
      <c r="A70" t="s">
        <v>106</v>
      </c>
      <c r="B70">
        <v>45687</v>
      </c>
      <c r="C70" t="s">
        <v>45</v>
      </c>
      <c r="D70" t="s">
        <v>22</v>
      </c>
      <c r="E70" t="s">
        <v>16</v>
      </c>
      <c r="F70" t="s">
        <v>31</v>
      </c>
      <c r="G70" t="s">
        <v>18</v>
      </c>
      <c r="H70">
        <v>49.7</v>
      </c>
      <c r="I70">
        <v>1.3</v>
      </c>
    </row>
    <row r="71" spans="1:9" x14ac:dyDescent="0.35">
      <c r="A71" t="s">
        <v>107</v>
      </c>
      <c r="B71">
        <v>45670</v>
      </c>
      <c r="C71" t="s">
        <v>30</v>
      </c>
      <c r="D71" t="s">
        <v>22</v>
      </c>
      <c r="E71" t="s">
        <v>16</v>
      </c>
      <c r="F71" t="s">
        <v>31</v>
      </c>
      <c r="G71" t="s">
        <v>47</v>
      </c>
      <c r="H71">
        <v>58.3</v>
      </c>
      <c r="I71">
        <v>3</v>
      </c>
    </row>
    <row r="72" spans="1:9" x14ac:dyDescent="0.35">
      <c r="A72" t="s">
        <v>108</v>
      </c>
      <c r="B72">
        <v>45706</v>
      </c>
      <c r="C72" t="s">
        <v>43</v>
      </c>
      <c r="D72" t="s">
        <v>26</v>
      </c>
      <c r="E72" t="s">
        <v>27</v>
      </c>
      <c r="F72" t="s">
        <v>17</v>
      </c>
      <c r="G72" t="s">
        <v>24</v>
      </c>
      <c r="H72">
        <v>57.6</v>
      </c>
      <c r="I72">
        <v>3.3</v>
      </c>
    </row>
    <row r="73" spans="1:9" x14ac:dyDescent="0.35">
      <c r="A73" t="s">
        <v>109</v>
      </c>
      <c r="B73">
        <v>45693</v>
      </c>
      <c r="C73" t="s">
        <v>21</v>
      </c>
      <c r="D73" t="s">
        <v>26</v>
      </c>
      <c r="E73" t="s">
        <v>27</v>
      </c>
      <c r="F73" t="s">
        <v>23</v>
      </c>
      <c r="G73" t="s">
        <v>28</v>
      </c>
      <c r="H73">
        <v>41.4</v>
      </c>
      <c r="I73">
        <v>3.7</v>
      </c>
    </row>
    <row r="74" spans="1:9" x14ac:dyDescent="0.35">
      <c r="A74" t="s">
        <v>110</v>
      </c>
      <c r="B74">
        <v>45716</v>
      </c>
      <c r="C74" t="s">
        <v>43</v>
      </c>
      <c r="D74" t="s">
        <v>15</v>
      </c>
      <c r="E74" t="s">
        <v>16</v>
      </c>
      <c r="F74" t="s">
        <v>46</v>
      </c>
      <c r="G74" t="s">
        <v>24</v>
      </c>
      <c r="H74">
        <v>4.4000000000000004</v>
      </c>
      <c r="I74">
        <v>1.6</v>
      </c>
    </row>
    <row r="75" spans="1:9" x14ac:dyDescent="0.35">
      <c r="A75" t="s">
        <v>111</v>
      </c>
      <c r="B75">
        <v>45738</v>
      </c>
      <c r="C75" t="s">
        <v>14</v>
      </c>
      <c r="D75" t="s">
        <v>15</v>
      </c>
      <c r="E75" t="s">
        <v>39</v>
      </c>
      <c r="F75" t="s">
        <v>46</v>
      </c>
      <c r="G75" t="s">
        <v>24</v>
      </c>
      <c r="H75">
        <v>39.1</v>
      </c>
      <c r="I75">
        <v>4.2</v>
      </c>
    </row>
    <row r="76" spans="1:9" x14ac:dyDescent="0.35">
      <c r="A76" t="s">
        <v>112</v>
      </c>
      <c r="B76">
        <v>45704</v>
      </c>
      <c r="C76" t="s">
        <v>45</v>
      </c>
      <c r="D76" t="s">
        <v>15</v>
      </c>
      <c r="E76" t="s">
        <v>39</v>
      </c>
      <c r="F76" t="s">
        <v>23</v>
      </c>
      <c r="G76" t="s">
        <v>24</v>
      </c>
      <c r="H76">
        <v>48.1</v>
      </c>
      <c r="I76">
        <v>4.8</v>
      </c>
    </row>
    <row r="77" spans="1:9" x14ac:dyDescent="0.35">
      <c r="A77" t="s">
        <v>113</v>
      </c>
      <c r="B77">
        <v>45678</v>
      </c>
      <c r="C77" t="s">
        <v>30</v>
      </c>
      <c r="D77" t="s">
        <v>26</v>
      </c>
      <c r="E77" t="s">
        <v>27</v>
      </c>
      <c r="F77" t="s">
        <v>17</v>
      </c>
      <c r="G77" t="s">
        <v>47</v>
      </c>
      <c r="H77">
        <v>6.4</v>
      </c>
      <c r="I77">
        <v>1.3</v>
      </c>
    </row>
    <row r="78" spans="1:9" x14ac:dyDescent="0.35">
      <c r="A78" t="s">
        <v>114</v>
      </c>
      <c r="B78">
        <v>45705</v>
      </c>
      <c r="C78" t="s">
        <v>45</v>
      </c>
      <c r="D78" t="s">
        <v>15</v>
      </c>
      <c r="E78" t="s">
        <v>16</v>
      </c>
      <c r="F78" t="s">
        <v>17</v>
      </c>
      <c r="G78" t="s">
        <v>28</v>
      </c>
      <c r="H78">
        <v>47.2</v>
      </c>
      <c r="I78">
        <v>2</v>
      </c>
    </row>
    <row r="79" spans="1:9" x14ac:dyDescent="0.35">
      <c r="A79" t="s">
        <v>115</v>
      </c>
      <c r="B79">
        <v>45703</v>
      </c>
      <c r="C79" t="s">
        <v>43</v>
      </c>
      <c r="D79" t="s">
        <v>22</v>
      </c>
      <c r="E79" t="s">
        <v>27</v>
      </c>
      <c r="F79" t="s">
        <v>31</v>
      </c>
      <c r="G79" t="s">
        <v>28</v>
      </c>
      <c r="H79">
        <v>2.4</v>
      </c>
      <c r="I79">
        <v>3.2</v>
      </c>
    </row>
    <row r="80" spans="1:9" x14ac:dyDescent="0.35">
      <c r="A80" t="s">
        <v>116</v>
      </c>
      <c r="B80">
        <v>45684</v>
      </c>
      <c r="C80" t="s">
        <v>43</v>
      </c>
      <c r="D80" t="s">
        <v>26</v>
      </c>
      <c r="E80" t="s">
        <v>39</v>
      </c>
      <c r="F80" t="s">
        <v>23</v>
      </c>
      <c r="G80" t="s">
        <v>28</v>
      </c>
      <c r="H80">
        <v>31.1</v>
      </c>
      <c r="I80">
        <v>2.7</v>
      </c>
    </row>
    <row r="81" spans="1:9" x14ac:dyDescent="0.35">
      <c r="A81" t="s">
        <v>117</v>
      </c>
      <c r="B81">
        <v>45742</v>
      </c>
      <c r="C81" t="s">
        <v>21</v>
      </c>
      <c r="D81" t="s">
        <v>15</v>
      </c>
      <c r="E81" t="s">
        <v>16</v>
      </c>
      <c r="F81" t="s">
        <v>17</v>
      </c>
      <c r="G81" t="s">
        <v>18</v>
      </c>
      <c r="H81">
        <v>36.1</v>
      </c>
      <c r="I81">
        <v>3.4</v>
      </c>
    </row>
    <row r="82" spans="1:9" x14ac:dyDescent="0.35">
      <c r="A82" t="s">
        <v>118</v>
      </c>
      <c r="B82">
        <v>45692</v>
      </c>
      <c r="C82" t="s">
        <v>21</v>
      </c>
      <c r="D82" t="s">
        <v>22</v>
      </c>
      <c r="E82" t="s">
        <v>27</v>
      </c>
      <c r="F82" t="s">
        <v>40</v>
      </c>
      <c r="G82" t="s">
        <v>28</v>
      </c>
      <c r="H82">
        <v>32.1</v>
      </c>
      <c r="I82">
        <v>3.5</v>
      </c>
    </row>
    <row r="83" spans="1:9" x14ac:dyDescent="0.35">
      <c r="A83" t="s">
        <v>119</v>
      </c>
      <c r="B83">
        <v>45746</v>
      </c>
      <c r="C83" t="s">
        <v>30</v>
      </c>
      <c r="D83" t="s">
        <v>15</v>
      </c>
      <c r="E83" t="s">
        <v>27</v>
      </c>
      <c r="F83" t="s">
        <v>46</v>
      </c>
      <c r="G83" t="s">
        <v>28</v>
      </c>
      <c r="H83">
        <v>27</v>
      </c>
      <c r="I83">
        <v>4.0999999999999996</v>
      </c>
    </row>
    <row r="84" spans="1:9" x14ac:dyDescent="0.35">
      <c r="A84" t="s">
        <v>120</v>
      </c>
      <c r="B84">
        <v>45744</v>
      </c>
      <c r="C84" t="s">
        <v>21</v>
      </c>
      <c r="D84" t="s">
        <v>38</v>
      </c>
      <c r="E84" t="s">
        <v>39</v>
      </c>
      <c r="F84" t="s">
        <v>31</v>
      </c>
      <c r="G84" t="s">
        <v>47</v>
      </c>
      <c r="H84">
        <v>64.400000000000006</v>
      </c>
      <c r="I84">
        <v>2.5</v>
      </c>
    </row>
    <row r="85" spans="1:9" x14ac:dyDescent="0.35">
      <c r="A85" t="s">
        <v>121</v>
      </c>
      <c r="B85">
        <v>45739</v>
      </c>
      <c r="C85" t="s">
        <v>43</v>
      </c>
      <c r="D85" t="s">
        <v>15</v>
      </c>
      <c r="E85" t="s">
        <v>27</v>
      </c>
      <c r="F85" t="s">
        <v>23</v>
      </c>
      <c r="G85" t="s">
        <v>18</v>
      </c>
      <c r="H85">
        <v>33.9</v>
      </c>
      <c r="I85">
        <v>4.5999999999999996</v>
      </c>
    </row>
    <row r="86" spans="1:9" x14ac:dyDescent="0.35">
      <c r="A86" t="s">
        <v>122</v>
      </c>
      <c r="B86">
        <v>45667</v>
      </c>
      <c r="C86" t="s">
        <v>43</v>
      </c>
      <c r="D86" t="s">
        <v>38</v>
      </c>
      <c r="E86" t="s">
        <v>39</v>
      </c>
      <c r="F86" t="s">
        <v>31</v>
      </c>
      <c r="G86" t="s">
        <v>18</v>
      </c>
      <c r="H86">
        <v>12.3</v>
      </c>
      <c r="I86">
        <v>2.2000000000000002</v>
      </c>
    </row>
    <row r="87" spans="1:9" x14ac:dyDescent="0.35">
      <c r="A87" t="s">
        <v>123</v>
      </c>
      <c r="B87">
        <v>45734</v>
      </c>
      <c r="C87" t="s">
        <v>14</v>
      </c>
      <c r="D87" t="s">
        <v>15</v>
      </c>
      <c r="E87" t="s">
        <v>39</v>
      </c>
      <c r="F87" t="s">
        <v>17</v>
      </c>
      <c r="G87" t="s">
        <v>24</v>
      </c>
      <c r="H87">
        <v>13.9</v>
      </c>
      <c r="I87">
        <v>3.4</v>
      </c>
    </row>
    <row r="88" spans="1:9" x14ac:dyDescent="0.35">
      <c r="A88" t="s">
        <v>124</v>
      </c>
      <c r="B88">
        <v>45738</v>
      </c>
      <c r="C88" t="s">
        <v>43</v>
      </c>
      <c r="D88" t="s">
        <v>15</v>
      </c>
      <c r="E88" t="s">
        <v>16</v>
      </c>
      <c r="F88" t="s">
        <v>17</v>
      </c>
      <c r="G88" t="s">
        <v>18</v>
      </c>
      <c r="H88">
        <v>38.299999999999997</v>
      </c>
      <c r="I88">
        <v>2.7</v>
      </c>
    </row>
    <row r="89" spans="1:9" x14ac:dyDescent="0.35">
      <c r="A89" t="s">
        <v>125</v>
      </c>
      <c r="B89">
        <v>45679</v>
      </c>
      <c r="C89" t="s">
        <v>30</v>
      </c>
      <c r="D89" t="s">
        <v>26</v>
      </c>
      <c r="E89" t="s">
        <v>16</v>
      </c>
      <c r="F89" t="s">
        <v>40</v>
      </c>
      <c r="G89" t="s">
        <v>18</v>
      </c>
      <c r="H89">
        <v>47.4</v>
      </c>
      <c r="I89">
        <v>3.3</v>
      </c>
    </row>
    <row r="90" spans="1:9" x14ac:dyDescent="0.35">
      <c r="A90" t="s">
        <v>126</v>
      </c>
      <c r="B90">
        <v>45725</v>
      </c>
      <c r="C90" t="s">
        <v>34</v>
      </c>
      <c r="D90" t="s">
        <v>26</v>
      </c>
      <c r="E90" t="s">
        <v>27</v>
      </c>
      <c r="F90" t="s">
        <v>46</v>
      </c>
      <c r="G90" t="s">
        <v>47</v>
      </c>
      <c r="H90">
        <v>44.9</v>
      </c>
      <c r="I90">
        <v>1.2</v>
      </c>
    </row>
    <row r="91" spans="1:9" x14ac:dyDescent="0.35">
      <c r="A91" t="s">
        <v>127</v>
      </c>
      <c r="B91">
        <v>45689</v>
      </c>
      <c r="C91" t="s">
        <v>14</v>
      </c>
      <c r="D91" t="s">
        <v>38</v>
      </c>
      <c r="E91" t="s">
        <v>39</v>
      </c>
      <c r="F91" t="s">
        <v>23</v>
      </c>
      <c r="G91" t="s">
        <v>28</v>
      </c>
      <c r="H91">
        <v>66.3</v>
      </c>
      <c r="I91">
        <v>4.8</v>
      </c>
    </row>
    <row r="92" spans="1:9" x14ac:dyDescent="0.35">
      <c r="A92" t="s">
        <v>128</v>
      </c>
      <c r="B92">
        <v>45678</v>
      </c>
      <c r="C92" t="s">
        <v>14</v>
      </c>
      <c r="D92" t="s">
        <v>26</v>
      </c>
      <c r="E92" t="s">
        <v>39</v>
      </c>
      <c r="F92" t="s">
        <v>31</v>
      </c>
      <c r="G92" t="s">
        <v>18</v>
      </c>
      <c r="H92">
        <v>56.1</v>
      </c>
      <c r="I92">
        <v>1.4</v>
      </c>
    </row>
    <row r="93" spans="1:9" x14ac:dyDescent="0.35">
      <c r="A93" t="s">
        <v>129</v>
      </c>
      <c r="B93">
        <v>45716</v>
      </c>
      <c r="C93" t="s">
        <v>30</v>
      </c>
      <c r="D93" t="s">
        <v>22</v>
      </c>
      <c r="E93" t="s">
        <v>16</v>
      </c>
      <c r="F93" t="s">
        <v>46</v>
      </c>
      <c r="G93" t="s">
        <v>18</v>
      </c>
      <c r="H93">
        <v>34.299999999999997</v>
      </c>
      <c r="I93">
        <v>4.0999999999999996</v>
      </c>
    </row>
    <row r="94" spans="1:9" x14ac:dyDescent="0.35">
      <c r="A94" t="s">
        <v>130</v>
      </c>
      <c r="B94">
        <v>45706</v>
      </c>
      <c r="C94" t="s">
        <v>30</v>
      </c>
      <c r="D94" t="s">
        <v>22</v>
      </c>
      <c r="E94" t="s">
        <v>16</v>
      </c>
      <c r="F94" t="s">
        <v>17</v>
      </c>
      <c r="G94" t="s">
        <v>47</v>
      </c>
      <c r="H94">
        <v>59.7</v>
      </c>
      <c r="I94">
        <v>3.5</v>
      </c>
    </row>
    <row r="95" spans="1:9" x14ac:dyDescent="0.35">
      <c r="A95" t="s">
        <v>131</v>
      </c>
      <c r="B95">
        <v>45692</v>
      </c>
      <c r="C95" t="s">
        <v>21</v>
      </c>
      <c r="D95" t="s">
        <v>38</v>
      </c>
      <c r="E95" t="s">
        <v>39</v>
      </c>
      <c r="F95" t="s">
        <v>46</v>
      </c>
      <c r="G95" t="s">
        <v>18</v>
      </c>
      <c r="H95">
        <v>43.3</v>
      </c>
      <c r="I95">
        <v>2.1</v>
      </c>
    </row>
    <row r="96" spans="1:9" x14ac:dyDescent="0.35">
      <c r="A96" t="s">
        <v>132</v>
      </c>
      <c r="B96">
        <v>45738</v>
      </c>
      <c r="C96" t="s">
        <v>14</v>
      </c>
      <c r="D96" t="s">
        <v>22</v>
      </c>
      <c r="E96" t="s">
        <v>16</v>
      </c>
      <c r="F96" t="s">
        <v>31</v>
      </c>
      <c r="G96" t="s">
        <v>18</v>
      </c>
      <c r="H96">
        <v>24.2</v>
      </c>
      <c r="I96">
        <v>1.3</v>
      </c>
    </row>
    <row r="97" spans="1:9" x14ac:dyDescent="0.35">
      <c r="A97" t="s">
        <v>133</v>
      </c>
      <c r="B97">
        <v>45745</v>
      </c>
      <c r="C97" t="s">
        <v>21</v>
      </c>
      <c r="D97" t="s">
        <v>22</v>
      </c>
      <c r="E97" t="s">
        <v>27</v>
      </c>
      <c r="F97" t="s">
        <v>46</v>
      </c>
      <c r="G97" t="s">
        <v>47</v>
      </c>
      <c r="H97">
        <v>18.8</v>
      </c>
      <c r="I97">
        <v>2</v>
      </c>
    </row>
    <row r="98" spans="1:9" x14ac:dyDescent="0.35">
      <c r="A98" t="s">
        <v>134</v>
      </c>
      <c r="B98">
        <v>45728</v>
      </c>
      <c r="C98" t="s">
        <v>43</v>
      </c>
      <c r="D98" t="s">
        <v>15</v>
      </c>
      <c r="E98" t="s">
        <v>39</v>
      </c>
      <c r="F98" t="s">
        <v>17</v>
      </c>
      <c r="G98" t="s">
        <v>24</v>
      </c>
      <c r="H98">
        <v>67.400000000000006</v>
      </c>
      <c r="I98">
        <v>3.2</v>
      </c>
    </row>
    <row r="99" spans="1:9" x14ac:dyDescent="0.35">
      <c r="A99" t="s">
        <v>135</v>
      </c>
      <c r="B99">
        <v>45686</v>
      </c>
      <c r="C99" t="s">
        <v>14</v>
      </c>
      <c r="D99" t="s">
        <v>26</v>
      </c>
      <c r="E99" t="s">
        <v>16</v>
      </c>
      <c r="F99" t="s">
        <v>46</v>
      </c>
      <c r="G99" t="s">
        <v>24</v>
      </c>
      <c r="H99">
        <v>21.2</v>
      </c>
      <c r="I99">
        <v>1.6</v>
      </c>
    </row>
    <row r="100" spans="1:9" x14ac:dyDescent="0.35">
      <c r="A100" t="s">
        <v>136</v>
      </c>
      <c r="B100">
        <v>45744</v>
      </c>
      <c r="C100" t="s">
        <v>14</v>
      </c>
      <c r="D100" t="s">
        <v>22</v>
      </c>
      <c r="E100" t="s">
        <v>27</v>
      </c>
      <c r="F100" t="s">
        <v>23</v>
      </c>
      <c r="G100" t="s">
        <v>18</v>
      </c>
      <c r="H100">
        <v>33.299999999999997</v>
      </c>
      <c r="I100">
        <v>2.6</v>
      </c>
    </row>
    <row r="101" spans="1:9" x14ac:dyDescent="0.35">
      <c r="A101" t="s">
        <v>137</v>
      </c>
      <c r="B101">
        <v>45699</v>
      </c>
      <c r="C101" t="s">
        <v>45</v>
      </c>
      <c r="D101" t="s">
        <v>22</v>
      </c>
      <c r="E101" t="s">
        <v>39</v>
      </c>
      <c r="F101" t="s">
        <v>46</v>
      </c>
      <c r="G101" t="s">
        <v>18</v>
      </c>
      <c r="H101">
        <v>54.4</v>
      </c>
      <c r="I101">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A52E-930A-428C-9B85-C353DEEC01F2}">
  <dimension ref="A1:J22"/>
  <sheetViews>
    <sheetView zoomScale="80" zoomScaleNormal="80" workbookViewId="0">
      <selection activeCell="H11" sqref="H11"/>
    </sheetView>
  </sheetViews>
  <sheetFormatPr defaultRowHeight="14.5" x14ac:dyDescent="0.35"/>
  <cols>
    <col min="1" max="1" width="13.36328125" bestFit="1" customWidth="1"/>
    <col min="2" max="2" width="31.81640625" bestFit="1" customWidth="1"/>
    <col min="3" max="3" width="6.81640625" bestFit="1" customWidth="1"/>
    <col min="4" max="4" width="7.81640625" bestFit="1" customWidth="1"/>
    <col min="5" max="5" width="6.81640625" bestFit="1" customWidth="1"/>
    <col min="6" max="6" width="10.7265625" bestFit="1" customWidth="1"/>
    <col min="7" max="8" width="5.81640625" bestFit="1" customWidth="1"/>
    <col min="9" max="9" width="19.54296875" bestFit="1" customWidth="1"/>
    <col min="10" max="10" width="22.26953125" bestFit="1" customWidth="1"/>
    <col min="11" max="101" width="5.81640625" bestFit="1" customWidth="1"/>
    <col min="102" max="102" width="10.7265625" bestFit="1" customWidth="1"/>
  </cols>
  <sheetData>
    <row r="1" spans="1:10" x14ac:dyDescent="0.35">
      <c r="A1" t="s">
        <v>0</v>
      </c>
      <c r="I1" t="s">
        <v>1</v>
      </c>
    </row>
    <row r="3" spans="1:10" x14ac:dyDescent="0.35">
      <c r="A3" s="1" t="s">
        <v>6</v>
      </c>
      <c r="B3" t="s">
        <v>139</v>
      </c>
      <c r="I3" s="1" t="s">
        <v>8</v>
      </c>
      <c r="J3" t="s">
        <v>139</v>
      </c>
    </row>
    <row r="4" spans="1:10" x14ac:dyDescent="0.35">
      <c r="A4" s="2" t="s">
        <v>43</v>
      </c>
      <c r="B4" s="3">
        <v>19</v>
      </c>
      <c r="I4" s="2" t="s">
        <v>27</v>
      </c>
      <c r="J4" s="3">
        <v>36</v>
      </c>
    </row>
    <row r="5" spans="1:10" x14ac:dyDescent="0.35">
      <c r="A5" s="2" t="s">
        <v>14</v>
      </c>
      <c r="B5" s="3">
        <v>18</v>
      </c>
      <c r="I5" s="2" t="s">
        <v>16</v>
      </c>
      <c r="J5" s="3">
        <v>34</v>
      </c>
    </row>
    <row r="6" spans="1:10" x14ac:dyDescent="0.35">
      <c r="A6" s="2" t="s">
        <v>21</v>
      </c>
      <c r="B6" s="3">
        <v>17</v>
      </c>
      <c r="I6" s="2" t="s">
        <v>39</v>
      </c>
      <c r="J6" s="3">
        <v>30</v>
      </c>
    </row>
    <row r="7" spans="1:10" x14ac:dyDescent="0.35">
      <c r="A7" s="2" t="s">
        <v>45</v>
      </c>
      <c r="B7" s="3">
        <v>16</v>
      </c>
      <c r="I7" s="2" t="s">
        <v>138</v>
      </c>
      <c r="J7" s="3">
        <v>100</v>
      </c>
    </row>
    <row r="8" spans="1:10" x14ac:dyDescent="0.35">
      <c r="A8" s="2" t="s">
        <v>30</v>
      </c>
      <c r="B8" s="3">
        <v>16</v>
      </c>
    </row>
    <row r="9" spans="1:10" x14ac:dyDescent="0.35">
      <c r="A9" s="2" t="s">
        <v>34</v>
      </c>
      <c r="B9" s="3">
        <v>14</v>
      </c>
    </row>
    <row r="10" spans="1:10" x14ac:dyDescent="0.35">
      <c r="A10" s="2" t="s">
        <v>138</v>
      </c>
      <c r="B10" s="3">
        <v>100</v>
      </c>
    </row>
    <row r="14" spans="1:10" x14ac:dyDescent="0.35">
      <c r="A14" t="s">
        <v>2</v>
      </c>
      <c r="I14" t="s">
        <v>3</v>
      </c>
    </row>
    <row r="16" spans="1:10" x14ac:dyDescent="0.35">
      <c r="A16" s="1" t="s">
        <v>143</v>
      </c>
      <c r="B16" t="s">
        <v>140</v>
      </c>
      <c r="I16" s="1" t="s">
        <v>9</v>
      </c>
      <c r="J16" t="s">
        <v>141</v>
      </c>
    </row>
    <row r="17" spans="1:10" x14ac:dyDescent="0.35">
      <c r="A17" s="2" t="s">
        <v>38</v>
      </c>
      <c r="B17" s="3">
        <v>47.153846153846153</v>
      </c>
      <c r="I17" s="2" t="s">
        <v>23</v>
      </c>
      <c r="J17" s="3">
        <v>48.9</v>
      </c>
    </row>
    <row r="18" spans="1:10" x14ac:dyDescent="0.35">
      <c r="A18" s="2" t="s">
        <v>22</v>
      </c>
      <c r="B18" s="3">
        <v>40.57586206896552</v>
      </c>
      <c r="I18" s="2" t="s">
        <v>17</v>
      </c>
      <c r="J18" s="3">
        <v>52</v>
      </c>
    </row>
    <row r="19" spans="1:10" x14ac:dyDescent="0.35">
      <c r="A19" s="2" t="s">
        <v>26</v>
      </c>
      <c r="B19" s="3">
        <v>39.499999999999993</v>
      </c>
      <c r="I19" s="2" t="s">
        <v>31</v>
      </c>
      <c r="J19" s="3">
        <v>53.3</v>
      </c>
    </row>
    <row r="20" spans="1:10" x14ac:dyDescent="0.35">
      <c r="A20" s="2" t="s">
        <v>15</v>
      </c>
      <c r="B20" s="3">
        <v>35.04137931034483</v>
      </c>
      <c r="I20" s="2" t="s">
        <v>40</v>
      </c>
      <c r="J20" s="3">
        <v>59.099999999999994</v>
      </c>
    </row>
    <row r="21" spans="1:10" x14ac:dyDescent="0.35">
      <c r="A21" s="2" t="s">
        <v>138</v>
      </c>
      <c r="B21" s="3">
        <v>39.514000000000003</v>
      </c>
      <c r="I21" s="2" t="s">
        <v>46</v>
      </c>
      <c r="J21" s="3">
        <v>74.099999999999994</v>
      </c>
    </row>
    <row r="22" spans="1:10" x14ac:dyDescent="0.35">
      <c r="I22" s="2" t="s">
        <v>138</v>
      </c>
      <c r="J22" s="3">
        <v>287.39999999999998</v>
      </c>
    </row>
  </sheetData>
  <conditionalFormatting sqref="A4:A9">
    <cfRule type="dataBar" priority="3">
      <dataBar>
        <cfvo type="min"/>
        <cfvo type="max"/>
        <color rgb="FF638EC6"/>
      </dataBar>
      <extLst>
        <ext xmlns:x14="http://schemas.microsoft.com/office/spreadsheetml/2009/9/main" uri="{B025F937-C7B1-47D3-B67F-A62EFF666E3E}">
          <x14:id>{43F7FB78-3376-49B5-A9D8-5A4E8600B5F9}</x14:id>
        </ext>
      </extLst>
    </cfRule>
  </conditionalFormatting>
  <conditionalFormatting pivot="1" sqref="J4:J6">
    <cfRule type="dataBar" priority="2">
      <dataBar>
        <cfvo type="min"/>
        <cfvo type="max"/>
        <color rgb="FF638EC6"/>
      </dataBar>
      <extLst>
        <ext xmlns:x14="http://schemas.microsoft.com/office/spreadsheetml/2009/9/main" uri="{B025F937-C7B1-47D3-B67F-A62EFF666E3E}">
          <x14:id>{24126A0F-412C-4F6B-B3DE-BC00B1240C22}</x14:id>
        </ext>
      </extLst>
    </cfRule>
  </conditionalFormatting>
  <conditionalFormatting pivot="1" sqref="J17:J21">
    <cfRule type="colorScale" priority="1">
      <colorScale>
        <cfvo type="min"/>
        <cfvo type="max"/>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3F7FB78-3376-49B5-A9D8-5A4E8600B5F9}">
            <x14:dataBar minLength="0" maxLength="100" border="1" negativeBarBorderColorSameAsPositive="0">
              <x14:cfvo type="autoMin"/>
              <x14:cfvo type="autoMax"/>
              <x14:borderColor rgb="FF638EC6"/>
              <x14:negativeFillColor rgb="FFFF0000"/>
              <x14:negativeBorderColor rgb="FFFF0000"/>
              <x14:axisColor rgb="FF000000"/>
            </x14:dataBar>
          </x14:cfRule>
          <xm:sqref>A4:A9</xm:sqref>
        </x14:conditionalFormatting>
        <x14:conditionalFormatting xmlns:xm="http://schemas.microsoft.com/office/excel/2006/main" pivot="1">
          <x14:cfRule type="dataBar" id="{24126A0F-412C-4F6B-B3DE-BC00B1240C22}">
            <x14:dataBar minLength="0" maxLength="100" border="1" negativeBarBorderColorSameAsPositive="0">
              <x14:cfvo type="autoMin"/>
              <x14:cfvo type="autoMax"/>
              <x14:borderColor rgb="FF638EC6"/>
              <x14:negativeFillColor rgb="FFFF0000"/>
              <x14:negativeBorderColor rgb="FFFF0000"/>
              <x14:axisColor rgb="FF000000"/>
            </x14:dataBar>
          </x14:cfRule>
          <xm:sqref>J4:J6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F6DF-54A0-4093-A9D5-DB19E0B3A101}">
  <dimension ref="A1"/>
  <sheetViews>
    <sheetView showGridLines="0" tabSelected="1" topLeftCell="A30" workbookViewId="0">
      <selection activeCell="T1" sqref="T1"/>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Datasets</vt:lpstr>
      <vt:lpstr>Pivot analyser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okolue netochukwu</dc:creator>
  <cp:lastModifiedBy>okolue netochukwu</cp:lastModifiedBy>
  <dcterms:created xsi:type="dcterms:W3CDTF">2025-07-19T22:10:11Z</dcterms:created>
  <dcterms:modified xsi:type="dcterms:W3CDTF">2026-06-16T09:41:56Z</dcterms:modified>
</cp:coreProperties>
</file>